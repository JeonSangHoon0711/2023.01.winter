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mc:AlternateContent xmlns:mc="http://schemas.openxmlformats.org/markup-compatibility/2006">
    <mc:Choice Requires="x15">
      <x15ac:absPath xmlns:x15ac="http://schemas.microsoft.com/office/spreadsheetml/2010/11/ac" url="C:\Users\a\Desktop\git\2023.01.winter\"/>
    </mc:Choice>
  </mc:AlternateContent>
  <xr:revisionPtr revIDLastSave="0" documentId="13_ncr:1_{5CEEE7AA-4296-4E21-865F-48511E2585C6}" xr6:coauthVersionLast="47" xr6:coauthVersionMax="47" xr10:uidLastSave="{00000000-0000-0000-0000-000000000000}"/>
  <bookViews>
    <workbookView xWindow="-108" yWindow="-108" windowWidth="23256" windowHeight="12576" tabRatio="636" activeTab="1" xr2:uid="{00000000-000D-0000-FFFF-FFFF00000000}"/>
  </bookViews>
  <sheets>
    <sheet name="Help" sheetId="9" r:id="rId1"/>
    <sheet name="Schedule" sheetId="31" r:id="rId2"/>
    <sheet name="Progress" sheetId="3" r:id="rId3"/>
    <sheet name="AnalysisReport" sheetId="4" r:id="rId4"/>
    <sheet name="Calendar" sheetId="5" r:id="rId5"/>
    <sheet name="TranslatedLanguages" sheetId="7" state="hidden" r:id="rId6"/>
    <sheet name="Workload" sheetId="8" r:id="rId7"/>
    <sheet name="Settings" sheetId="6" state="veryHidden" r:id="rId8"/>
  </sheets>
  <functionGroups builtInGroupCount="19"/>
  <definedNames>
    <definedName name="ACTUAL_RATE">Progress!$B$21</definedName>
    <definedName name="ACTUAL_WORKLOAD">Progress!$B$12</definedName>
    <definedName name="ACTUAL_WORKLOAD2">Progress!$B$15</definedName>
    <definedName name="English_Name">TranslatedLanguages!$D$1</definedName>
    <definedName name="PLANNED_RATE">Progress!$B$18</definedName>
    <definedName name="PLANNED_WORKLOAD">Progress!$B$9</definedName>
    <definedName name="_xlnm.Print_Area" localSheetId="1">Schedule!$D$1:$AR$28</definedName>
    <definedName name="RATE_GAP">Progress!$B$24</definedName>
    <definedName name="RNG_ACTUAL_END_DATE_COL_NAME" localSheetId="1">Schedule!$X$3</definedName>
    <definedName name="RNG_ACTUAL_RATE_COL_NAME" localSheetId="1">Schedule!$AE$3</definedName>
    <definedName name="RNG_ACTUAL_START_DATE_COL_NAME" localSheetId="1">Schedule!$W$3</definedName>
    <definedName name="RNG_ACTUAL_TOTAL_DURATION_COL_NAME" localSheetId="1">Schedule!$Z$3</definedName>
    <definedName name="RNG_ACTUAL_TOTAL_WORKLOAD_COL_NAME" localSheetId="1">Schedule!$Y$3</definedName>
    <definedName name="RNG_CALENDAR_COL_NAME" localSheetId="1">Schedule!$R$3</definedName>
    <definedName name="RNG_DELIVERABLES_COL_NAME" localSheetId="1">Schedule!$AC$3</definedName>
    <definedName name="RNG_END_DATE_COL_NAME" localSheetId="1">Schedule!$Q$3</definedName>
    <definedName name="RNG_ETC_COL_NAME" localSheetId="1">Schedule!$O$3</definedName>
    <definedName name="RNG_GANTT_AREA_FIRST_COL_NAME" localSheetId="1">Schedule!$AF$4</definedName>
    <definedName name="RNG_PLAN_DURATION_COL_NAME" localSheetId="1">Schedule!$V$3</definedName>
    <definedName name="RNG_PLAN_RATE_COL_NAME" localSheetId="1">Schedule!$AD$3</definedName>
    <definedName name="RNG_PLAN_WORKLOAD_COL_NAME" localSheetId="1">Schedule!$T$3</definedName>
    <definedName name="RNG_RESOURCE_COL_NAME" localSheetId="1">Schedule!$AB$3</definedName>
    <definedName name="RNG_RESOURCE_WEIGHT_COL_NAME" localSheetId="1">Schedule!$AA$3</definedName>
    <definedName name="RNG_START_DATE_COL_NAME" localSheetId="1">Schedule!$P$3</definedName>
    <definedName name="RNG_TASK_FIRST_COL_NAME" localSheetId="1">Schedule!$E$3</definedName>
    <definedName name="RNG_TOTAL_DURATION_COL_NAME" localSheetId="1">Schedule!$U$3</definedName>
    <definedName name="RNG_TOTAL_WORKLOAD_COL_NAME" localSheetId="1">Schedule!$S$3</definedName>
    <definedName name="RNG_WBS_AREA_LAST_COL_NAME" localSheetId="1">Schedule!$AE$3</definedName>
    <definedName name="RNG_WBS_COL_NAME" localSheetId="1">Schedule!$D$3</definedName>
    <definedName name="RNG_WBS_LEVEL_COL_NAME" localSheetId="1">Schedule!$C$3</definedName>
    <definedName name="STD_CAL">Calendar!$B$5:$B$304</definedName>
    <definedName name="TOTAL_WORKLOAD">Progress!$B$6</definedName>
    <definedName name="UD_CAL1">Calendar!$E$5:$E$304</definedName>
    <definedName name="UD_CAL2">Calendar!$H$5:$H$304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 i="31" l="1"/>
  <c r="AF6" i="31"/>
  <c r="AF7" i="31"/>
  <c r="AF8" i="31"/>
  <c r="AF9" i="31"/>
  <c r="AH12" i="31"/>
  <c r="AF14" i="31"/>
  <c r="AF15" i="31"/>
  <c r="AF16" i="31"/>
  <c r="AF17" i="31"/>
  <c r="AG19" i="31"/>
  <c r="AG20" i="31"/>
  <c r="AG21" i="31"/>
  <c r="AG22" i="31"/>
  <c r="AG23" i="31"/>
  <c r="AG24" i="31"/>
  <c r="AG25" i="31"/>
  <c r="AG26" i="31"/>
  <c r="AG27" i="31"/>
  <c r="AG28" i="31"/>
  <c r="F7" i="4" l="1"/>
  <c r="F8" i="4"/>
  <c r="F9" i="4"/>
  <c r="F10" i="4"/>
  <c r="F11" i="4"/>
  <c r="F12" i="4"/>
  <c r="F13" i="4"/>
  <c r="F14" i="4"/>
  <c r="F15" i="4"/>
  <c r="F16" i="4"/>
  <c r="F17" i="4"/>
  <c r="F18" i="4"/>
  <c r="F19" i="4"/>
  <c r="F20" i="4"/>
  <c r="F21" i="4"/>
  <c r="F22" i="4"/>
  <c r="F23" i="4"/>
  <c r="F24" i="4"/>
  <c r="F25" i="4"/>
  <c r="F26" i="4"/>
  <c r="F27" i="4"/>
  <c r="F28" i="4"/>
  <c r="D29" i="4"/>
  <c r="E29" i="4" s="1"/>
  <c r="E28" i="4"/>
  <c r="E27" i="4"/>
  <c r="E26" i="4"/>
  <c r="E25" i="4"/>
  <c r="E24" i="4"/>
  <c r="E23" i="4"/>
  <c r="E22" i="4"/>
  <c r="E21" i="4"/>
  <c r="E20" i="4"/>
  <c r="E19" i="4"/>
  <c r="E18" i="4"/>
  <c r="E17" i="4"/>
  <c r="E16" i="4"/>
  <c r="E15" i="4"/>
  <c r="E14" i="4"/>
  <c r="E13" i="4"/>
  <c r="E12" i="4"/>
  <c r="E11" i="4"/>
  <c r="E10" i="4"/>
  <c r="E9" i="4"/>
  <c r="E8" i="4"/>
  <c r="E7" i="4"/>
  <c r="C19" i="5" l="1"/>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31" a="1"/>
  <c r="AE1" i="31" a="1"/>
  <c r="D1" i="31" a="1"/>
  <c r="AE1" i="31" l="1"/>
  <c r="AE2" i="31"/>
  <c r="D1" i="31"/>
  <c r="B24"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<sst xmlns="http://schemas.openxmlformats.org/spreadsheetml/2006/main" count="3095" uniqueCount="1605">
  <si>
    <t>Man/Day</t>
    <phoneticPr fontId="3" type="noConversion"/>
  </si>
  <si>
    <t>Man-Day</t>
  </si>
  <si>
    <t>Man-Month</t>
  </si>
  <si>
    <t>VALUE3</t>
  </si>
  <si>
    <t>INSERTED_DATE</t>
    <phoneticPr fontId="3" type="noConversion"/>
  </si>
  <si>
    <t>UPDATED_DATE</t>
    <phoneticPr fontId="3" type="noConversion"/>
  </si>
  <si>
    <t>COMPANY</t>
    <phoneticPr fontId="3" type="noConversion"/>
  </si>
  <si>
    <t>XLWorks</t>
    <phoneticPr fontId="3" type="noConversion"/>
  </si>
  <si>
    <t>DO NOT UPDATE</t>
    <phoneticPr fontId="3" type="noConversion"/>
  </si>
  <si>
    <t>AUTHOR_EMAIL</t>
    <phoneticPr fontId="3" type="noConversion"/>
  </si>
  <si>
    <t>PROGRAM_NAME</t>
    <phoneticPr fontId="3" type="noConversion"/>
  </si>
  <si>
    <t>XLGantt</t>
  </si>
  <si>
    <t>PROGRAM_SITE</t>
    <phoneticPr fontId="3" type="noConversion"/>
  </si>
  <si>
    <t>PROGRAM_SITE_DISP</t>
    <phoneticPr fontId="3" type="noConversion"/>
  </si>
  <si>
    <t>VERSION</t>
    <phoneticPr fontId="3" type="noConversion"/>
  </si>
  <si>
    <t>RELEASE_DATE</t>
    <phoneticPr fontId="3" type="noConversion"/>
  </si>
  <si>
    <t>LICENSE</t>
    <phoneticPr fontId="3" type="noConversion"/>
  </si>
  <si>
    <t>Freeware</t>
    <phoneticPr fontId="3" type="noConversion"/>
  </si>
  <si>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</si>
  <si>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</si>
  <si>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</si>
  <si>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</si>
  <si>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</si>
  <si>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</si>
  <si>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</si>
  <si>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</si>
  <si>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</si>
  <si>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</si>
  <si>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</si>
  <si>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</si>
  <si>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</si>
  <si>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</si>
  <si>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</si>
  <si>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</si>
  <si>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</si>
  <si>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</si>
  <si>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</si>
  <si>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</si>
  <si>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</si>
  <si>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</si>
  <si>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</si>
  <si>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</si>
  <si>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</si>
  <si>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</si>
  <si>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</si>
  <si>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</si>
  <si>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</si>
  <si>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</si>
  <si>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</si>
  <si>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</si>
  <si>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</si>
  <si>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</si>
  <si>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</si>
  <si>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</si>
  <si>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</si>
  <si>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</si>
  <si>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</si>
  <si>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</si>
  <si>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</si>
  <si>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</si>
  <si>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</si>
  <si>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</si>
  <si>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</si>
  <si>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</si>
  <si>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</si>
  <si>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</si>
  <si>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</si>
  <si>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</si>
  <si>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</si>
  <si>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</si>
  <si>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</si>
  <si>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</si>
  <si>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</si>
  <si>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</si>
  <si>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</si>
  <si>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</si>
  <si>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</si>
  <si>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</si>
  <si>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</si>
  <si>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</si>
  <si>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</si>
  <si>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</si>
  <si>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</si>
  <si>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</si>
  <si>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</si>
  <si>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</si>
  <si>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</si>
  <si>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</si>
  <si>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</si>
  <si>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</si>
  <si>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</si>
  <si>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</si>
  <si>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</si>
  <si>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</si>
  <si>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</si>
  <si>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</si>
  <si>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</si>
  <si>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</si>
  <si>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</si>
  <si>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</si>
  <si>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</si>
  <si>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</si>
  <si>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</si>
  <si>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</si>
  <si>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</si>
  <si>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</si>
  <si>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</si>
  <si>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</si>
  <si>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</si>
  <si>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</si>
  <si>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</si>
  <si>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</si>
  <si>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</si>
  <si>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</si>
  <si>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</si>
  <si>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</si>
  <si>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</si>
  <si>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</si>
  <si>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</si>
  <si>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</si>
  <si>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</si>
  <si>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</si>
  <si>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</si>
  <si>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</si>
  <si>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</si>
  <si>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</si>
  <si>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</si>
  <si>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</si>
  <si>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</si>
  <si>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</si>
  <si>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</si>
  <si>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</si>
  <si>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</si>
  <si>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</si>
  <si>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</si>
  <si>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</si>
  <si>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</si>
  <si>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</si>
  <si>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</si>
  <si>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</si>
  <si>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</si>
  <si>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</si>
  <si>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</si>
  <si>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</si>
  <si>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</si>
  <si>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</si>
  <si>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</si>
  <si>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</si>
  <si>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</si>
  <si>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</si>
  <si>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</si>
  <si>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</si>
  <si>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</si>
  <si>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</si>
  <si>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</si>
  <si>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</si>
  <si>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</si>
  <si>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</si>
  <si>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</si>
  <si>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</si>
  <si>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</si>
  <si>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</si>
  <si>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</si>
  <si>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</si>
  <si>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</si>
  <si>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</si>
  <si>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</si>
  <si>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</si>
  <si>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</si>
  <si>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</si>
  <si>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</si>
  <si>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</si>
  <si>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</si>
  <si>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</si>
  <si>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</si>
  <si>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</si>
  <si>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</si>
  <si>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</si>
  <si>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</si>
  <si>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</si>
  <si>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</si>
  <si>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</si>
  <si>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</si>
  <si>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</si>
  <si>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</si>
  <si>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</si>
  <si>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</si>
  <si>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</si>
  <si>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</si>
  <si>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</si>
  <si>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</si>
  <si>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</si>
  <si>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</si>
  <si>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</si>
  <si>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</si>
  <si>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</si>
  <si>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</si>
  <si>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</si>
  <si>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</si>
  <si>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</si>
  <si>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</si>
  <si>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</si>
  <si>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</si>
  <si>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</si>
  <si>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</si>
  <si>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</si>
  <si>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</si>
  <si>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</si>
  <si>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</si>
  <si>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</si>
  <si>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</si>
  <si>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</si>
  <si>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</si>
  <si>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</si>
  <si>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</si>
  <si>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</si>
  <si>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</si>
  <si>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</si>
  <si>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</si>
  <si>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</si>
  <si>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</si>
  <si>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</si>
  <si>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</si>
  <si>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</si>
  <si>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</si>
  <si>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</si>
  <si>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</si>
  <si>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</si>
  <si>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</si>
  <si>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</si>
  <si>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</si>
  <si>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</si>
  <si>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</si>
  <si>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</si>
  <si>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</si>
  <si>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</si>
  <si>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</si>
  <si>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</si>
  <si>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</si>
  <si>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</si>
  <si>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</si>
  <si>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</si>
  <si>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</si>
  <si>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</si>
  <si>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</si>
  <si>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</si>
  <si>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</si>
  <si>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</si>
  <si>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</si>
  <si>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</si>
  <si>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</si>
  <si>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</si>
  <si>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</si>
  <si>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</si>
  <si>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</si>
  <si>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</si>
  <si>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</si>
  <si>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</si>
  <si>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</si>
  <si>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</si>
  <si>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</si>
  <si>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</si>
  <si>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</si>
  <si>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</si>
  <si>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</si>
  <si>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</si>
  <si>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</si>
  <si>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</si>
  <si>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</si>
  <si>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</si>
  <si>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</si>
  <si>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</si>
  <si>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</si>
  <si>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</si>
  <si>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</si>
  <si>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</si>
  <si>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</si>
  <si>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</si>
  <si>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</si>
  <si>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</si>
  <si>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</si>
  <si>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</si>
  <si>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</si>
  <si>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</si>
  <si>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</si>
  <si>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</si>
  <si>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</si>
  <si>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</si>
  <si>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</si>
  <si>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</si>
  <si>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</si>
  <si>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</si>
  <si>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</si>
  <si>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</si>
  <si>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</si>
  <si>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</si>
  <si>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</si>
  <si>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</si>
  <si>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</si>
  <si>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</si>
  <si>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</si>
  <si>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</si>
  <si>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</si>
  <si>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</si>
  <si>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</si>
  <si>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</si>
  <si>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</si>
  <si>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</si>
  <si>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</si>
  <si>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</si>
  <si>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</si>
  <si>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</si>
  <si>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</si>
  <si>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</si>
  <si>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</si>
  <si>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</si>
  <si>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</si>
  <si>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</si>
  <si>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</si>
  <si>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</si>
  <si>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</si>
  <si>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</si>
  <si>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</si>
  <si>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</si>
  <si>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</si>
  <si>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</si>
  <si>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</si>
  <si>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</si>
  <si>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</si>
  <si>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</si>
  <si>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</si>
  <si>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</si>
  <si>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</si>
  <si>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</si>
  <si>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</si>
  <si>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</si>
  <si>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</si>
  <si>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</si>
  <si>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3" type="noConversion"/>
  </si>
  <si>
    <t>admin@xlworks.net</t>
    <phoneticPr fontId="3" type="noConversion"/>
  </si>
  <si>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</si>
  <si>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</si>
  <si>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</si>
  <si>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</si>
  <si>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</si>
  <si>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</si>
  <si>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</si>
  <si>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</si>
  <si>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</si>
  <si>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</si>
  <si>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</si>
  <si>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</si>
  <si>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</si>
  <si>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</si>
  <si>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</si>
  <si>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</si>
  <si>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</si>
  <si>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</si>
  <si>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</si>
  <si>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</si>
  <si>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</si>
  <si>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</si>
  <si>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</si>
  <si>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</si>
  <si>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</si>
  <si>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</si>
  <si>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</si>
  <si>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</si>
  <si>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</si>
  <si>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</si>
  <si>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</si>
  <si>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</si>
  <si>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</si>
  <si>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</si>
  <si>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</si>
  <si>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</si>
  <si>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</si>
  <si>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</si>
  <si>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</si>
  <si>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</si>
  <si>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</si>
  <si>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</si>
  <si>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</si>
  <si>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</si>
  <si>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</si>
  <si>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</si>
  <si>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</si>
  <si>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</si>
  <si>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</si>
  <si>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</si>
  <si>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</si>
  <si>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</si>
  <si>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</si>
  <si>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</si>
  <si>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</si>
  <si>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</si>
  <si>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</si>
  <si>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</si>
  <si>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</si>
  <si>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</si>
  <si>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</si>
  <si>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</si>
  <si>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</si>
  <si>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</si>
  <si>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</si>
  <si>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</si>
  <si>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</si>
  <si>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</si>
  <si>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</si>
  <si>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</si>
  <si>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</si>
  <si>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</si>
  <si>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</si>
  <si>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</si>
  <si>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3"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</si>
  <si>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</si>
  <si>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</si>
  <si>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</si>
  <si>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</si>
  <si>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1" type="noConversion"/>
  </si>
  <si>
    <t>Total__Duration</t>
    <phoneticPr fontId="3" type="noConversion"/>
  </si>
  <si>
    <t>Saturdays, Sundays and the dates entered in the Calendar sheet_x000D_</t>
    <phoneticPr fontId="1" type="noConversion"/>
  </si>
  <si>
    <t>Actual__Total Work</t>
    <phoneticPr fontId="3" type="noConversion"/>
  </si>
  <si>
    <t>Reserved</t>
    <phoneticPr fontId="3" type="noConversion"/>
  </si>
  <si>
    <t>Text Index</t>
    <phoneticPr fontId="3" type="noConversion"/>
  </si>
  <si>
    <t>Description</t>
    <phoneticPr fontId="3"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</si>
  <si>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</si>
  <si>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</si>
  <si>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</si>
  <si>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</si>
  <si>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</si>
  <si>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%Work__Complete</t>
    <phoneticPr fontId="3" type="noConversion"/>
  </si>
  <si>
    <t>manual input</t>
    <phoneticPr fontId="1" type="noConversion"/>
  </si>
  <si>
    <t>Actual</t>
    <phoneticPr fontId="1" type="noConversion"/>
  </si>
  <si>
    <t>Actual Total__Duration</t>
    <phoneticPr fontId="3" type="noConversion"/>
  </si>
  <si>
    <t>Actual__Finish</t>
    <phoneticPr fontId="3" type="noConversion"/>
  </si>
  <si>
    <t>Actual__Start</t>
    <phoneticPr fontId="3" type="noConversion"/>
  </si>
  <si>
    <t>Actual__Total Duration</t>
    <phoneticPr fontId="3" type="noConversion"/>
  </si>
  <si>
    <t>Actual\nStart-Finish</t>
    <phoneticPr fontId="1" type="noConversion"/>
  </si>
  <si>
    <t>yyyy/mm/dd</t>
    <phoneticPr fontId="1" type="noConversion"/>
  </si>
  <si>
    <t>Plan</t>
    <phoneticPr fontId="1" type="noConversion"/>
  </si>
  <si>
    <t>Planned__%Work Complete</t>
    <phoneticPr fontId="3" type="noConversion"/>
  </si>
  <si>
    <t>Planned__Duration</t>
    <phoneticPr fontId="3" type="noConversion"/>
  </si>
  <si>
    <t>Planned__Work</t>
    <phoneticPr fontId="3" type="noConversion"/>
  </si>
  <si>
    <t>Resources</t>
    <phoneticPr fontId="1" type="noConversion"/>
  </si>
  <si>
    <t>The language setting has been changed.\nPress the OK button to start translation. \nIt may take a long time to translate.\nHowever, translation of Ribbon menu and Popup menu takes effect after reopening this XLGantt file.</t>
    <phoneticPr fontId="3" type="noConversion"/>
  </si>
  <si>
    <t>Total__Work</t>
    <phoneticPr fontId="3" type="noConversion"/>
  </si>
  <si>
    <t>Would you like to update the schedule before saving?</t>
    <phoneticPr fontId="3" type="noConversion"/>
  </si>
  <si>
    <t>Group rows</t>
    <phoneticPr fontId="1" type="noConversion"/>
  </si>
  <si>
    <t>Schedule</t>
    <phoneticPr fontId="1" type="noConversion"/>
  </si>
  <si>
    <t>Progress</t>
    <phoneticPr fontId="1" type="noConversion"/>
  </si>
  <si>
    <t>AnalysisReport</t>
    <phoneticPr fontId="1" type="noConversion"/>
  </si>
  <si>
    <t>Calendar</t>
    <phoneticPr fontId="1" type="noConversion"/>
  </si>
  <si>
    <t>TranslatedLanguages</t>
    <phoneticPr fontId="1" type="noConversion"/>
  </si>
  <si>
    <t>Gantt Chart Zoom Ratio(Max 999%)</t>
    <phoneticPr fontId="1" type="noConversion"/>
  </si>
  <si>
    <t>Manual</t>
    <phoneticPr fontId="1" type="noConversion"/>
  </si>
  <si>
    <t>Automatic</t>
    <phoneticPr fontId="1" type="noConversion"/>
  </si>
  <si>
    <t>Automatic Except for Data Tables</t>
    <phoneticPr fontId="1" type="noConversion"/>
  </si>
  <si>
    <t>Calculation Options</t>
    <phoneticPr fontId="1" type="noConversion"/>
  </si>
  <si>
    <t>task_group</t>
    <phoneticPr fontId="3" type="noConversion"/>
  </si>
  <si>
    <t>WBS</t>
    <phoneticPr fontId="3" type="noConversion"/>
  </si>
  <si>
    <t>reserved</t>
    <phoneticPr fontId="3" type="noConversion"/>
  </si>
  <si>
    <t>wbs_level</t>
    <phoneticPr fontId="3" type="noConversion"/>
  </si>
  <si>
    <t>Total Work</t>
  </si>
  <si>
    <t>Planned Work</t>
  </si>
  <si>
    <t>Total Duration</t>
  </si>
  <si>
    <t>Planned Duration</t>
  </si>
  <si>
    <t>Actual Total Work</t>
  </si>
  <si>
    <t>Actual Total Duration</t>
  </si>
  <si>
    <t>Planned %Work Complete</t>
  </si>
  <si>
    <t>for importOnStartup</t>
    <phoneticPr fontId="1" type="noConversion"/>
  </si>
  <si>
    <t>Invalid field name!</t>
    <phoneticPr fontId="1" type="noConversion"/>
  </si>
  <si>
    <t>Import file format Error! Range A1 should contain "xlgantt_reserved" string.</t>
    <phoneticPr fontId="1" type="noConversion"/>
  </si>
  <si>
    <t>Import file format Error! Range A2 should contain the import result.</t>
    <phoneticPr fontId="1" type="noConversion"/>
  </si>
  <si>
    <t>Successfully imported.</t>
    <phoneticPr fontId="1" type="noConversion"/>
  </si>
  <si>
    <t>Recalculate WBS area after import</t>
    <phoneticPr fontId="1" type="noConversion"/>
  </si>
  <si>
    <t>Do not recalculate WBS area after import</t>
    <phoneticPr fontId="1" type="noConversion"/>
  </si>
  <si>
    <t>Number of "Task" columns(Max 20)</t>
    <phoneticPr fontId="1" type="noConversion"/>
  </si>
  <si>
    <t>Import from Server</t>
    <phoneticPr fontId="1" type="noConversion"/>
  </si>
  <si>
    <t>Choose what to do after Importing Server Data</t>
    <phoneticPr fontId="1" type="noConversion"/>
  </si>
  <si>
    <t xml:space="preserve">Import  Data of "ServerData" sheet on Startup </t>
    <phoneticPr fontId="1" type="noConversion"/>
  </si>
  <si>
    <t>Import has already been completed.</t>
    <phoneticPr fontId="1" type="noConversion"/>
  </si>
  <si>
    <t>No data to import.</t>
    <phoneticPr fontId="1" type="noConversion"/>
  </si>
  <si>
    <t>The number of task columns is not 10. Please retry after changing the sheet to its previous state.</t>
    <phoneticPr fontId="1" type="noConversion"/>
  </si>
  <si>
    <t>The week containing the first Thursday of the year is the first week of the year(ISO 8601 Standard).</t>
    <phoneticPr fontId="1" type="noConversion"/>
  </si>
  <si>
    <t>System 2</t>
    <phoneticPr fontId="1" type="noConversion"/>
  </si>
  <si>
    <t>System 1</t>
    <phoneticPr fontId="1" type="noConversion"/>
  </si>
  <si>
    <t>The week containing January 1 is the first week of the year.</t>
    <phoneticPr fontId="1" type="noConversion"/>
  </si>
  <si>
    <t>for Week Number</t>
    <phoneticPr fontId="1" type="noConversion"/>
  </si>
  <si>
    <t>None</t>
    <phoneticPr fontId="1" type="noConversion"/>
  </si>
  <si>
    <t>Week Numbers Display</t>
    <phoneticPr fontId="1" type="noConversion"/>
  </si>
  <si>
    <t>Group rows(Max 8 Levels)</t>
    <phoneticPr fontId="1" type="noConversion"/>
  </si>
  <si>
    <t>totalWorkload</t>
  </si>
  <si>
    <t>planWorkload</t>
  </si>
  <si>
    <t>actualWorkload</t>
  </si>
  <si>
    <t>resourceWeight</t>
  </si>
  <si>
    <t>planRate</t>
  </si>
  <si>
    <t>actualRate</t>
  </si>
  <si>
    <t>reserved index</t>
    <phoneticPr fontId="1" type="noConversion"/>
  </si>
  <si>
    <t>1</t>
  </si>
  <si>
    <t>Actual Accumulated\nMan-Day</t>
    <phoneticPr fontId="1" type="noConversion"/>
  </si>
  <si>
    <t>Actual Man-Day</t>
    <phoneticPr fontId="1" type="noConversion"/>
  </si>
  <si>
    <t>Actual Progress</t>
    <phoneticPr fontId="1" type="noConversion"/>
  </si>
  <si>
    <t>Project Progresses by Weeks</t>
    <phoneticPr fontId="1" type="noConversion"/>
  </si>
  <si>
    <t>* This sheet shows you project progresses by weeks.</t>
    <phoneticPr fontId="1" type="noConversion"/>
  </si>
  <si>
    <t>timebucketStart</t>
  </si>
  <si>
    <t>timebucketFinish</t>
  </si>
  <si>
    <t>actualStart</t>
  </si>
  <si>
    <t>actualFinish</t>
  </si>
  <si>
    <t>Planned Workload(Man-Day)</t>
    <phoneticPr fontId="1" type="noConversion"/>
  </si>
  <si>
    <t>Planned Workload Accumulated(Man-Day)</t>
    <phoneticPr fontId="1" type="noConversion"/>
  </si>
  <si>
    <t>Actual Workload(Man-Day)</t>
    <phoneticPr fontId="1" type="noConversion"/>
  </si>
  <si>
    <t>Actual Workload Progress</t>
    <phoneticPr fontId="1" type="noConversion"/>
  </si>
  <si>
    <t>Planned Workload Progress</t>
    <phoneticPr fontId="1" type="noConversion"/>
  </si>
  <si>
    <t>Actual Workload Accumulated(Man-Day)</t>
    <phoneticPr fontId="1" type="noConversion"/>
  </si>
  <si>
    <t>Progress by Weeks</t>
    <phoneticPr fontId="1" type="noConversion"/>
  </si>
  <si>
    <t>Progress by Months</t>
    <phoneticPr fontId="1" type="noConversion"/>
  </si>
  <si>
    <t>Project Progresses by Months</t>
    <phoneticPr fontId="1" type="noConversion"/>
  </si>
  <si>
    <t>* This sheet shows you project progresses by months.</t>
    <phoneticPr fontId="1" type="noConversion"/>
  </si>
  <si>
    <t>* You need to click the "Progress by Weeks" button to update the contents.</t>
    <phoneticPr fontId="1" type="noConversion"/>
  </si>
  <si>
    <t>* You need to click the "Progress by Months" button to update the contents.</t>
    <phoneticPr fontId="1" type="noConversion"/>
  </si>
  <si>
    <t>Earned Value(Man-Day)</t>
    <phoneticPr fontId="1" type="noConversion"/>
  </si>
  <si>
    <t>Earned Value Accumulated(Man-Day)</t>
    <phoneticPr fontId="1" type="noConversion"/>
  </si>
  <si>
    <t>Earned Value Progress</t>
    <phoneticPr fontId="1" type="noConversion"/>
  </si>
  <si>
    <t>Earned value on planned schedule</t>
    <phoneticPr fontId="1" type="noConversion"/>
  </si>
  <si>
    <t>Earned value on planned schedule when managing schedule changes(Total Duration x %Work Complete)</t>
    <phoneticPr fontId="1" type="noConversion"/>
  </si>
  <si>
    <t>earnedValue</t>
  </si>
  <si>
    <t>Earned Value(C)\nMan-day</t>
    <phoneticPr fontId="1" type="noConversion"/>
  </si>
  <si>
    <t>wbsLevel01</t>
  </si>
  <si>
    <t>wbsLevel02</t>
  </si>
  <si>
    <t>wbsLevel03</t>
  </si>
  <si>
    <t>wbsLevel04</t>
  </si>
  <si>
    <t>wbsLevel05</t>
  </si>
  <si>
    <t>wbsLevel06</t>
  </si>
  <si>
    <t>wbsLevel07</t>
  </si>
  <si>
    <t>wbsLevel08</t>
  </si>
  <si>
    <t>wbsLevel09</t>
  </si>
  <si>
    <t>wbsLevel10</t>
  </si>
  <si>
    <t>weekNumber</t>
  </si>
  <si>
    <t>wbsLevel</t>
  </si>
  <si>
    <t>Workloads</t>
    <phoneticPr fontId="1" type="noConversion"/>
  </si>
  <si>
    <t>Workload</t>
    <phoneticPr fontId="1" type="noConversion"/>
  </si>
  <si>
    <t>Workload Data</t>
    <phoneticPr fontId="1" type="noConversion"/>
  </si>
  <si>
    <t>Create Workload Data by Weeks</t>
    <phoneticPr fontId="1" type="noConversion"/>
  </si>
  <si>
    <t>Create Workload Data by Months</t>
  </si>
  <si>
    <t>1.1</t>
  </si>
  <si>
    <t>Earned value on planned schedule(Total Duration x %Work Complete)</t>
    <phoneticPr fontId="1" type="noConversion"/>
  </si>
  <si>
    <t>for help sheet</t>
    <phoneticPr fontId="1"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</si>
  <si>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</si>
  <si>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</si>
  <si>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</si>
  <si>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</si>
  <si>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</si>
  <si>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</si>
  <si>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1" type="noConversion"/>
  </si>
  <si>
    <t>Help and the latest version</t>
    <phoneticPr fontId="1" type="noConversion"/>
  </si>
  <si>
    <t>Sheets</t>
    <phoneticPr fontId="1" type="noConversion"/>
  </si>
  <si>
    <t>When you enter a task and a schedule, the progress rate is calculated and the schedule of the task is displayed as a gantt chart.</t>
    <phoneticPr fontId="1" type="noConversion"/>
  </si>
  <si>
    <t>Shows you the progresses and workloads of the project by weeks, months, and resources.</t>
    <phoneticPr fontId="1" type="noConversion"/>
  </si>
  <si>
    <t>Shows you the workloads, progresses, etc.</t>
    <phoneticPr fontId="1" type="noConversion"/>
  </si>
  <si>
    <t>Sets nonworking days.</t>
    <phoneticPr fontId="1" type="noConversion"/>
  </si>
  <si>
    <t>Makes workload data by weekly and monthly. You can do analysis as you want by using Excel features such as pivot.</t>
    <phoneticPr fontId="1" type="noConversion"/>
  </si>
  <si>
    <t>It is used when you want to see schedule data of IT system where server exists separately.</t>
    <phoneticPr fontId="1" type="noConversion"/>
  </si>
  <si>
    <t>Task input, schedule update</t>
    <phoneticPr fontId="1" type="noConversion"/>
  </si>
  <si>
    <t>Setting Gantt chart display style</t>
    <phoneticPr fontId="1" type="noConversion"/>
  </si>
  <si>
    <t>Keeping track of project progress</t>
    <phoneticPr fontId="1" type="noConversion"/>
  </si>
  <si>
    <t>Analysis report</t>
    <phoneticPr fontId="1" type="noConversion"/>
  </si>
  <si>
    <t>Schedule change</t>
    <phoneticPr fontId="1" type="noConversion"/>
  </si>
  <si>
    <t>Adding Tasks to Microsoft Outlook Calendar</t>
    <phoneticPr fontId="1" type="noConversion"/>
  </si>
  <si>
    <t>Importing Schedules from Another File</t>
    <phoneticPr fontId="1" type="noConversion"/>
  </si>
  <si>
    <t>Integration with Excel Features</t>
    <phoneticPr fontId="1" type="noConversion"/>
  </si>
  <si>
    <t>Importing Server Data</t>
    <phoneticPr fontId="1" type="noConversion"/>
  </si>
  <si>
    <t>When you enter task names, start and finish dates, and %work complete values, XLGantt automatically calculates the tasks durations, planned %work complete values.</t>
    <phoneticPr fontId="1" type="noConversion"/>
  </si>
  <si>
    <t>You can click the "Options" button on the ribbon to customize a Gantt chart style.</t>
    <phoneticPr fontId="1" type="noConversion"/>
  </si>
  <si>
    <t>You can use %work complete to keep track of the progress of the project.</t>
    <phoneticPr fontId="1" type="noConversion"/>
  </si>
  <si>
    <t>Provides you with analytical reports such as progress, workload, and workload data for tracking the status of your project.</t>
    <phoneticPr fontId="1" type="noConversion"/>
  </si>
  <si>
    <t>Manages the planned schedule and actual schedule of the project.</t>
    <phoneticPr fontId="1" type="noConversion"/>
  </si>
  <si>
    <t>Specifies the save path of the deliverables and open the deliverables.</t>
    <phoneticPr fontId="1"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</si>
  <si>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1" type="noConversion"/>
  </si>
  <si>
    <t>Imports schedules into XLGantt. You can import the schedules by mapping the fields.</t>
    <phoneticPr fontId="1" type="noConversion"/>
  </si>
  <si>
    <t>You can include the formulas and functions of the Excel in XLGantt.</t>
    <phoneticPr fontId="1" type="noConversion"/>
  </si>
  <si>
    <t>You can use this feature if you want to see the server's schedule data. If you put the schedule data on the Server into the ServerData sheet and download the XLGantt file and open the XLGantt file, the data comes into the Schedule sheet.</t>
    <phoneticPr fontId="1"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</si>
  <si>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1" type="noConversion"/>
  </si>
  <si>
    <t>Getting Started With XLGantt</t>
    <phoneticPr fontId="1" type="noConversion"/>
  </si>
  <si>
    <t>If you want to learn the features quickly and easily, see the "Getting Started With XLGantt".</t>
    <phoneticPr fontId="1" type="noConversion"/>
  </si>
  <si>
    <t>https://xlworks.net/xlgantt-howto-13-server-data/</t>
    <phoneticPr fontId="1"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</si>
  <si>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1"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</si>
  <si>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1" type="noConversion"/>
  </si>
  <si>
    <t>Adds tasks to the Outlook calendar(You must have Microsoft Outlook installed on your PC).</t>
    <phoneticPr fontId="1" type="noConversion"/>
  </si>
  <si>
    <t>reserved index, for help sheet</t>
    <phoneticPr fontId="1" type="noConversion"/>
  </si>
  <si>
    <t>Color Theme</t>
    <phoneticPr fontId="1" type="noConversion"/>
  </si>
  <si>
    <t>Display date on the timescale</t>
    <phoneticPr fontId="1" type="noConversion"/>
  </si>
  <si>
    <t>Display year on the timescale</t>
    <phoneticPr fontId="1" type="noConversion"/>
  </si>
  <si>
    <t>Display project week number on the timescale</t>
    <phoneticPr fontId="1" type="noConversion"/>
  </si>
  <si>
    <t>Appearance</t>
    <phoneticPr fontId="1" type="noConversion"/>
  </si>
  <si>
    <t>Gantt chart title</t>
    <phoneticPr fontId="1" type="noConversion"/>
  </si>
  <si>
    <t>Gantt chart group task bar</t>
    <phoneticPr fontId="1" type="noConversion"/>
  </si>
  <si>
    <t>Gantt chart sub task bar</t>
    <phoneticPr fontId="1" type="noConversion"/>
  </si>
  <si>
    <t>WBS title - input field</t>
    <phoneticPr fontId="1" type="noConversion"/>
  </si>
  <si>
    <t>WBS title - auto calculated field</t>
    <phoneticPr fontId="1" type="noConversion"/>
  </si>
  <si>
    <t>Workload Calculation</t>
    <phoneticPr fontId="1" type="noConversion"/>
  </si>
  <si>
    <t>by Weight</t>
    <phoneticPr fontId="1" type="noConversion"/>
  </si>
  <si>
    <t>Default</t>
    <phoneticPr fontId="1" type="noConversion"/>
  </si>
  <si>
    <t>Purple</t>
    <phoneticPr fontId="1" type="noConversion"/>
  </si>
  <si>
    <t>Green</t>
    <phoneticPr fontId="1" type="noConversion"/>
  </si>
  <si>
    <t>Custom</t>
    <phoneticPr fontId="1" type="noConversion"/>
  </si>
  <si>
    <t>resourceAssignRate</t>
  </si>
  <si>
    <t>(Resources unspecified)</t>
    <phoneticPr fontId="1" type="noConversion"/>
  </si>
  <si>
    <t>by Resource Allocation Ratio</t>
    <phoneticPr fontId="1" type="noConversion"/>
  </si>
  <si>
    <t>Resource Allocation Ratio</t>
    <phoneticPr fontId="1" type="noConversion"/>
  </si>
  <si>
    <t>The resource allocation ratio in the resource field of row number {1} in the {2} sheet is invalid.</t>
    <phoneticPr fontId="1" type="noConversion"/>
  </si>
  <si>
    <t>The resource field should be entered in the following format.</t>
    <phoneticPr fontId="1" type="noConversion"/>
  </si>
  <si>
    <t>Elsa,John[50%]</t>
    <phoneticPr fontId="1" type="noConversion"/>
  </si>
  <si>
    <t>Mark task as milestone</t>
    <phoneticPr fontId="1" type="noConversion"/>
  </si>
  <si>
    <t>Title above WBS</t>
    <phoneticPr fontId="1" type="noConversion"/>
  </si>
  <si>
    <t>projectWeekNumber</t>
  </si>
  <si>
    <t>Title above Gantt chart</t>
    <phoneticPr fontId="1" type="noConversion"/>
  </si>
  <si>
    <t>Black &amp; White</t>
    <phoneticPr fontId="1" type="noConversion"/>
  </si>
  <si>
    <t>Set "the earliest start date and the lastest fisnish date of the tasks" to the Project Start-Finish date.</t>
    <phoneticPr fontId="1" type="noConversion"/>
  </si>
  <si>
    <t>F</t>
    <phoneticPr fontId="1" type="noConversion"/>
  </si>
  <si>
    <t>1:English,82:Korean,999:Custom</t>
    <phoneticPr fontId="1" type="noConversion"/>
  </si>
  <si>
    <t>When not managing schedule changes</t>
    <phoneticPr fontId="1" type="noConversion"/>
  </si>
  <si>
    <t>When managing schedule changes</t>
    <phoneticPr fontId="1" type="noConversion"/>
  </si>
  <si>
    <t>Ahead of schedule</t>
    <phoneticPr fontId="1" type="noConversion"/>
  </si>
  <si>
    <t>On schedule</t>
    <phoneticPr fontId="1" type="noConversion"/>
  </si>
  <si>
    <t>Behind schedule</t>
    <phoneticPr fontId="1" type="noConversion"/>
  </si>
  <si>
    <t>Custom</t>
  </si>
  <si>
    <t>Gantt chart progress line</t>
    <phoneticPr fontId="1" type="noConversion"/>
  </si>
  <si>
    <t>Schedule variance</t>
    <phoneticPr fontId="1" type="noConversion"/>
  </si>
  <si>
    <t>Started earlier than planned</t>
    <phoneticPr fontId="1" type="noConversion"/>
  </si>
  <si>
    <t>Started later than planned</t>
    <phoneticPr fontId="1" type="noConversion"/>
  </si>
  <si>
    <t>Started as planned</t>
    <phoneticPr fontId="1" type="noConversion"/>
  </si>
  <si>
    <t>Star(*) marks-required fields</t>
    <phoneticPr fontId="1" type="noConversion"/>
  </si>
  <si>
    <t>12/1/2018</t>
    <phoneticPr fontId="1" type="noConversion"/>
  </si>
  <si>
    <t>&lt;&lt; Unmap</t>
    <phoneticPr fontId="1" type="noConversion"/>
  </si>
  <si>
    <t>&lt;&lt; Remove</t>
    <phoneticPr fontId="1" type="noConversion"/>
  </si>
  <si>
    <t>Calendar</t>
    <phoneticPr fontId="3" type="noConversion"/>
  </si>
  <si>
    <t>TODAY</t>
    <phoneticPr fontId="1" type="noConversion"/>
  </si>
  <si>
    <t>https://xlworks.net/xlgantt-easy-tip/</t>
    <phoneticPr fontId="1" type="noConversion"/>
  </si>
  <si>
    <t>https://xlworks.net/xlgantt-howto-02-task/</t>
    <phoneticPr fontId="1" type="noConversion"/>
  </si>
  <si>
    <t>https://xlworks.net/xlgantt-howto-03-gantt-chart/</t>
    <phoneticPr fontId="1" type="noConversion"/>
  </si>
  <si>
    <t>https://xlworks.net/xlgantt-howto-04-project-progress/</t>
    <phoneticPr fontId="1" type="noConversion"/>
  </si>
  <si>
    <t>Help</t>
    <phoneticPr fontId="1" type="noConversion"/>
  </si>
  <si>
    <t>https://xlworks.net/xlgantt-project-scheduler/</t>
    <phoneticPr fontId="1" type="noConversion"/>
  </si>
  <si>
    <t>How to use</t>
    <phoneticPr fontId="1" type="noConversion"/>
  </si>
  <si>
    <t>https://xlworks.net/xlgantt-howto-05-analysis-report/</t>
    <phoneticPr fontId="1" type="noConversion"/>
  </si>
  <si>
    <t>https://xlworks.net/xlgantt-howto-06-schedule-change-management/</t>
    <phoneticPr fontId="1" type="noConversion"/>
  </si>
  <si>
    <t>https://xlworks.net/xlgantt-howto-07-deliverables/</t>
    <phoneticPr fontId="1" type="noConversion"/>
  </si>
  <si>
    <t>https://xlworks.net/xlgantt-howto-08-add-tasks-to-outlook/</t>
    <phoneticPr fontId="1" type="noConversion"/>
  </si>
  <si>
    <t>XLGantt Version {} Terms of Use</t>
    <phoneticPr fontId="1" type="noConversion"/>
  </si>
  <si>
    <t>Display date or day on the timescale</t>
    <phoneticPr fontId="1" type="noConversion"/>
  </si>
  <si>
    <t>Display font color to gray for the completed tasks</t>
    <phoneticPr fontId="1" type="noConversion"/>
  </si>
  <si>
    <t>Display interior color to gray for the task groups</t>
    <phoneticPr fontId="1" type="noConversion"/>
  </si>
  <si>
    <t>Left</t>
    <phoneticPr fontId="1" type="noConversion"/>
  </si>
  <si>
    <t>Center</t>
    <phoneticPr fontId="1" type="noConversion"/>
  </si>
  <si>
    <t>Right</t>
    <phoneticPr fontId="1" type="noConversion"/>
  </si>
  <si>
    <t>Align WBS Column</t>
    <phoneticPr fontId="1" type="noConversion"/>
  </si>
  <si>
    <t>Date</t>
    <phoneticPr fontId="1" type="noConversion"/>
  </si>
  <si>
    <t>Day</t>
    <phoneticPr fontId="1" type="noConversion"/>
  </si>
  <si>
    <t>The same field name exists.</t>
    <phoneticPr fontId="1" type="noConversion"/>
  </si>
  <si>
    <t>Enter tasks, Update schedule</t>
    <phoneticPr fontId="1" type="noConversion"/>
  </si>
  <si>
    <t>Displayed in %Work complete column</t>
    <phoneticPr fontId="1" type="noConversion"/>
  </si>
  <si>
    <t>CM</t>
  </si>
  <si>
    <t>ITEM</t>
  </si>
  <si>
    <t>VALUE1</t>
  </si>
  <si>
    <t>VALUE2</t>
  </si>
  <si>
    <t>ITEM_GROUP</t>
    <phoneticPr fontId="1" type="noConversion"/>
  </si>
  <si>
    <t>DESCRIPTION</t>
    <phoneticPr fontId="3" type="noConversion"/>
  </si>
  <si>
    <t>txtDefinedPath</t>
  </si>
  <si>
    <t>txtAutoDefinedBasePath</t>
  </si>
  <si>
    <t>chkDeliverablesMgt</t>
  </si>
  <si>
    <t>txtPgmPath4</t>
  </si>
  <si>
    <t>txtPgmPath5</t>
  </si>
  <si>
    <t>txtPgmPath6</t>
  </si>
  <si>
    <t>txtPgmPath7</t>
  </si>
  <si>
    <t>txtPgmPath8</t>
  </si>
  <si>
    <t>txtPgmName4</t>
  </si>
  <si>
    <t>txtPgmName8</t>
  </si>
  <si>
    <t>txtPgmName7</t>
  </si>
  <si>
    <t>txtPgmName6</t>
  </si>
  <si>
    <t>txtPgmName5</t>
  </si>
  <si>
    <t>chkInclude2SelectList4</t>
  </si>
  <si>
    <t>chkInclude2SelectList5</t>
  </si>
  <si>
    <t>chkInclude2SelectList6</t>
  </si>
  <si>
    <t>chkInclude2SelectList7</t>
  </si>
  <si>
    <t>chkInclude2SelectList8</t>
  </si>
  <si>
    <t>txtFileExt8</t>
  </si>
  <si>
    <t>txtFileExt4</t>
  </si>
  <si>
    <t>txtFileExt7</t>
  </si>
  <si>
    <t>txtFileExt6</t>
  </si>
  <si>
    <t>txtFileExt5</t>
  </si>
  <si>
    <t>txtPgmName1</t>
  </si>
  <si>
    <t>txtPgmPath1</t>
  </si>
  <si>
    <t>txtPgmPath2</t>
  </si>
  <si>
    <t>txtPgmPath3</t>
  </si>
  <si>
    <t>txtPgmName3</t>
  </si>
  <si>
    <t>txtPgmName2</t>
  </si>
  <si>
    <t>chkInclude2SelectList1</t>
  </si>
  <si>
    <t>chkInclude2SelectList2</t>
  </si>
  <si>
    <t>chkInclude2SelectList3</t>
  </si>
  <si>
    <t>txtFileExt1</t>
  </si>
  <si>
    <t>txtFileExt3</t>
  </si>
  <si>
    <t>txtFileExt2</t>
  </si>
  <si>
    <t>chkWBSUpdateExecuteYN</t>
  </si>
  <si>
    <t>chkCheckForUpdatesOnStartup</t>
  </si>
  <si>
    <t>chkImportDataOnStartup</t>
  </si>
  <si>
    <t>optRecalcWBSArea</t>
  </si>
  <si>
    <t>txtGanttChartZoomRatio</t>
  </si>
  <si>
    <t>optWorkloadCalcByResourceAssignRate</t>
  </si>
  <si>
    <t>cbxColorTheme</t>
  </si>
  <si>
    <t>chkYearDispOverTimescale</t>
  </si>
  <si>
    <t>chkProjectWeekNumDispOverTimescale</t>
  </si>
  <si>
    <t>C:\Temp</t>
    <phoneticPr fontId="1" type="noConversion"/>
  </si>
  <si>
    <t>C:\Program Files\Autodesk\AutoCAD 2019\acad.exe</t>
    <phoneticPr fontId="1" type="noConversion"/>
  </si>
  <si>
    <t>C:\Program Files\Notepad++\notepad++.exe</t>
    <phoneticPr fontId="1" type="noConversion"/>
  </si>
  <si>
    <t>C:\WINDOWS\system32\notepad.exe</t>
    <phoneticPr fontId="1" type="noConversion"/>
  </si>
  <si>
    <t>AutoCAD</t>
    <phoneticPr fontId="1" type="noConversion"/>
  </si>
  <si>
    <t>메모장</t>
    <phoneticPr fontId="1" type="noConversion"/>
  </si>
  <si>
    <t>Notepad++</t>
    <phoneticPr fontId="1" type="noConversion"/>
  </si>
  <si>
    <t>dwg</t>
    <phoneticPr fontId="1" type="noConversion"/>
  </si>
  <si>
    <t>txt</t>
    <phoneticPr fontId="1" type="noConversion"/>
  </si>
  <si>
    <t>html</t>
    <phoneticPr fontId="1" type="noConversion"/>
  </si>
  <si>
    <t>ppt*</t>
    <phoneticPr fontId="1" type="noConversion"/>
  </si>
  <si>
    <t>xls*</t>
    <phoneticPr fontId="1" type="noConversion"/>
  </si>
  <si>
    <t>doc*</t>
    <phoneticPr fontId="1" type="noConversion"/>
  </si>
  <si>
    <t>FS</t>
  </si>
  <si>
    <t>optToday</t>
  </si>
  <si>
    <t>optThisWeek</t>
  </si>
  <si>
    <t>optThisMonth</t>
  </si>
  <si>
    <t>optDefinedDuration</t>
  </si>
  <si>
    <t>optAll</t>
  </si>
  <si>
    <t>txtTaskEndDate</t>
  </si>
  <si>
    <t>txtTaskStartDate</t>
  </si>
  <si>
    <t>optNotCompleted</t>
  </si>
  <si>
    <t>txtPercentTo</t>
  </si>
  <si>
    <t>txtPercentFrom</t>
  </si>
  <si>
    <t>txtResource</t>
  </si>
  <si>
    <t>optExactMatch</t>
  </si>
  <si>
    <t>optLike</t>
  </si>
  <si>
    <t>optDefinedPercentValue</t>
  </si>
  <si>
    <t>optCompleted</t>
  </si>
  <si>
    <t>optAllPercentWorkComplete</t>
    <phoneticPr fontId="1" type="noConversion"/>
  </si>
  <si>
    <t>OL</t>
    <phoneticPr fontId="1" type="noConversion"/>
  </si>
  <si>
    <t>Select Formula Cells</t>
    <phoneticPr fontId="1" type="noConversion"/>
  </si>
  <si>
    <t>5.0.0</t>
    <phoneticPr fontId="1" type="noConversion"/>
  </si>
  <si>
    <t xml:space="preserve">XLGantt 5.0.0 ©XLWorks </t>
    <phoneticPr fontId="3" type="noConversion"/>
  </si>
  <si>
    <t>W1</t>
  </si>
  <si>
    <t>Average number of working days per month</t>
    <phoneticPr fontId="1" type="noConversion"/>
  </si>
  <si>
    <t>Free space in the print area</t>
    <phoneticPr fontId="1" type="noConversion"/>
  </si>
  <si>
    <t>Automatically adjust height of Schedule sheet rows 1-4</t>
    <phoneticPr fontId="1" type="noConversion"/>
  </si>
  <si>
    <t>Program error has occurred.</t>
    <phoneticPr fontId="1" type="noConversion"/>
  </si>
  <si>
    <t>Program error has occurred, this error can occur because of the following:\n\n1. An incorrect value was entered in the Schedule sheet (eg, a value beginning with an equal sign (=) was entered except in the date field).\n\n2. {1}</t>
    <phoneticPr fontId="1" type="noConversion"/>
  </si>
  <si>
    <t>Program error has occurred.\n\n{1}\nError code:{2}\n\nIf this program file is stored in a cloud storage such as Microsoft OneDrive, move it to a local drive on your PC and use it.</t>
    <phoneticPr fontId="1" type="noConversion"/>
  </si>
  <si>
    <t>Program error has occurred.\n\n{1}\nError code:{2}</t>
    <phoneticPr fontId="1" type="noConversion"/>
  </si>
  <si>
    <t>DO NOT UPDATE, DO NOT MOVE ROW 8 TO ANOTHER ROW</t>
    <phoneticPr fontId="3" type="noConversion"/>
  </si>
  <si>
    <t>projectName</t>
  </si>
  <si>
    <t>isConfirmedProjectBasicInfo</t>
  </si>
  <si>
    <t>projectStartDate</t>
  </si>
  <si>
    <t>projectEndDate</t>
  </si>
  <si>
    <t>scheduleSheetPosition</t>
  </si>
  <si>
    <t>setTaskDateToProjectDate</t>
  </si>
  <si>
    <t>optScheduleChangeMgt</t>
  </si>
  <si>
    <t>optPlanRateCriteriaDate</t>
  </si>
  <si>
    <t>optFirstDayOfWeek</t>
  </si>
  <si>
    <t>optNonWorkingDays</t>
  </si>
  <si>
    <t>optWeekNum</t>
  </si>
  <si>
    <t>txtAvgWorkingdays</t>
  </si>
  <si>
    <t>txtPrintSpace</t>
  </si>
  <si>
    <t>chkAutoAdjustHeightRow1_5</t>
  </si>
  <si>
    <t>chkAutoAdjustHeightRow1_4</t>
  </si>
  <si>
    <t>10066176;10066176;26367;8421504;26367;8421504;16764108;16737792;65280;16737792;13311;65280;14540253;255</t>
  </si>
  <si>
    <t>completeTaskGrayDisplay</t>
  </si>
  <si>
    <t>taskDispInGroup</t>
  </si>
  <si>
    <t>taskDispInSub</t>
  </si>
  <si>
    <t>dateDisp</t>
  </si>
  <si>
    <t>ganttColWidth</t>
  </si>
  <si>
    <t>taskNameDisplayPosition</t>
  </si>
  <si>
    <t>actualRateDisp</t>
  </si>
  <si>
    <t>groupTaskInteriorGrayDisplay</t>
  </si>
  <si>
    <t>optGanttChartColumnDisplay</t>
  </si>
  <si>
    <t>applyUserInputFirst</t>
  </si>
  <si>
    <t>plannedRateDisp</t>
  </si>
  <si>
    <t>resourceDisp</t>
  </si>
  <si>
    <t>taskDisp</t>
  </si>
  <si>
    <t>groupRows</t>
  </si>
  <si>
    <t>dateDispOnTimescale</t>
  </si>
  <si>
    <t>txtNumberOfTaskColumn</t>
  </si>
  <si>
    <t>themeColorList</t>
  </si>
  <si>
    <t>optAlignWBSColumn</t>
  </si>
  <si>
    <t>savePathType</t>
  </si>
  <si>
    <t>lastTranslatedLanguage</t>
  </si>
  <si>
    <t>languageSelectionType</t>
  </si>
  <si>
    <t>languageSelectedByManual</t>
  </si>
  <si>
    <t>selectedLanguageList</t>
  </si>
  <si>
    <t>2</t>
  </si>
  <si>
    <t>OG</t>
    <phoneticPr fontId="1" type="noConversion"/>
  </si>
  <si>
    <t>OW</t>
    <phoneticPr fontId="1" type="noConversion"/>
  </si>
  <si>
    <t>OD</t>
    <phoneticPr fontId="1" type="noConversion"/>
  </si>
  <si>
    <t>OP</t>
    <phoneticPr fontId="1" type="noConversion"/>
  </si>
  <si>
    <t>https://xlworks.io/xlgantt-project-scheduler/</t>
  </si>
  <si>
    <t>https://xlworks.io/xlgantt-project-scheduler/</t>
    <phoneticPr fontId="3" type="noConversion"/>
  </si>
  <si>
    <t>https://xlworks.io/xlgantt-howto-1-getting-started-with-xlgantt/</t>
  </si>
  <si>
    <t>https://xlworks.io/xlgantt-howto-2-input-task-update-schedule/</t>
  </si>
  <si>
    <t>https://xlworks.io/xlgantt-howto-03-gantt-chart/</t>
  </si>
  <si>
    <t>https://xlworks.io/xlgantt-howto-04-project-progress/</t>
  </si>
  <si>
    <t>https://xlworks.io/xlgantt-howto-05-analysis-report/</t>
  </si>
  <si>
    <t>https://xlworks.io/xlgantt-howto-06-schedule-change-management/</t>
  </si>
  <si>
    <t>https://xlworks.io/xlgantt-howto-07-deliverables/</t>
  </si>
  <si>
    <t>https://xlworks.io/xlgantt-howto-08-add-tasks-to-outlook/</t>
  </si>
  <si>
    <t>https://xlworks.io/xlgantt-howto-09-multilingual-support/</t>
  </si>
  <si>
    <t>https://xlworks.io/xlgantt-howto-10-import-schedule/</t>
  </si>
  <si>
    <t>https://xlworks.io/xlgantt-howto-11-calendar/</t>
  </si>
  <si>
    <t>https://xlworks.io/xlgantt-howto-12-integration-with-excel/</t>
  </si>
  <si>
    <t>https://xlworks.io/xlgantt-howto-13-server-data/</t>
  </si>
  <si>
    <t>https://xlworks.io/</t>
    <phoneticPr fontId="1" type="noConversion"/>
  </si>
  <si>
    <t>https://xlworks.net/</t>
    <phoneticPr fontId="1" type="noConversion"/>
  </si>
  <si>
    <r>
      <t xml:space="preserve">* </t>
    </r>
    <r>
      <rPr>
        <sz val="9"/>
        <color theme="1"/>
        <rFont val="맑은 고딕"/>
        <family val="3"/>
        <charset val="129"/>
      </rPr>
      <t>현재</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영어와</t>
    </r>
    <r>
      <rPr>
        <sz val="9"/>
        <color theme="1"/>
        <rFont val="Calibri"/>
        <family val="2"/>
      </rPr>
      <t xml:space="preserve"> </t>
    </r>
    <r>
      <rPr>
        <sz val="9"/>
        <color theme="1"/>
        <rFont val="맑은 고딕"/>
        <family val="3"/>
        <charset val="129"/>
      </rPr>
      <t>한국어만</t>
    </r>
    <r>
      <rPr>
        <sz val="9"/>
        <color theme="1"/>
        <rFont val="Calibri"/>
        <family val="2"/>
      </rPr>
      <t xml:space="preserve"> </t>
    </r>
    <r>
      <rPr>
        <sz val="9"/>
        <color theme="1"/>
        <rFont val="맑은 고딕"/>
        <family val="3"/>
        <charset val="129"/>
      </rPr>
      <t>지원합니다</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필요하면</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언어추가</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추가하고</t>
    </r>
    <r>
      <rPr>
        <sz val="9"/>
        <color theme="1"/>
        <rFont val="Calibri"/>
        <family val="2"/>
      </rPr>
      <t xml:space="preserve"> TranslatedLanguages sheet</t>
    </r>
    <r>
      <rPr>
        <sz val="9"/>
        <color theme="1"/>
        <rFont val="맑은 고딕"/>
        <family val="3"/>
        <charset val="129"/>
      </rPr>
      <t>에</t>
    </r>
    <r>
      <rPr>
        <sz val="9"/>
        <color theme="1"/>
        <rFont val="Calibri"/>
        <family val="2"/>
      </rPr>
      <t xml:space="preserve"> </t>
    </r>
    <r>
      <rPr>
        <sz val="9"/>
        <color theme="1"/>
        <rFont val="맑은 고딕"/>
        <family val="3"/>
        <charset val="129"/>
      </rPr>
      <t>각</t>
    </r>
    <r>
      <rPr>
        <sz val="9"/>
        <color theme="1"/>
        <rFont val="Calibri"/>
        <family val="2"/>
      </rPr>
      <t xml:space="preserve"> </t>
    </r>
    <r>
      <rPr>
        <sz val="9"/>
        <color theme="1"/>
        <rFont val="맑은 고딕"/>
        <family val="3"/>
        <charset val="129"/>
      </rPr>
      <t>언어별로</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추가해야</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추가하지</t>
    </r>
    <r>
      <rPr>
        <sz val="9"/>
        <color theme="1"/>
        <rFont val="Calibri"/>
        <family val="2"/>
      </rPr>
      <t xml:space="preserve"> </t>
    </r>
    <r>
      <rPr>
        <sz val="9"/>
        <color theme="1"/>
        <rFont val="맑은 고딕"/>
        <family val="3"/>
        <charset val="129"/>
      </rPr>
      <t>않으면</t>
    </r>
    <r>
      <rPr>
        <sz val="9"/>
        <color theme="1"/>
        <rFont val="Calibri"/>
        <family val="2"/>
      </rPr>
      <t xml:space="preserve"> </t>
    </r>
    <r>
      <rPr>
        <sz val="9"/>
        <color theme="1"/>
        <rFont val="맑은 고딕"/>
        <family val="3"/>
        <charset val="129"/>
      </rPr>
      <t>기본언어인</t>
    </r>
    <r>
      <rPr>
        <sz val="9"/>
        <color theme="1"/>
        <rFont val="Calibri"/>
        <family val="2"/>
      </rPr>
      <t xml:space="preserve"> </t>
    </r>
    <r>
      <rPr>
        <sz val="9"/>
        <color theme="1"/>
        <rFont val="맑은 고딕"/>
        <family val="3"/>
        <charset val="129"/>
      </rPr>
      <t>영어로</t>
    </r>
    <r>
      <rPr>
        <sz val="9"/>
        <color theme="1"/>
        <rFont val="Calibri"/>
        <family val="2"/>
      </rPr>
      <t xml:space="preserve"> </t>
    </r>
    <r>
      <rPr>
        <sz val="9"/>
        <color theme="1"/>
        <rFont val="맑은 고딕"/>
        <family val="3"/>
        <charset val="129"/>
      </rPr>
      <t>표시됩니다</t>
    </r>
    <r>
      <rPr>
        <sz val="9"/>
        <color theme="1"/>
        <rFont val="Calibri"/>
        <family val="2"/>
      </rPr>
      <t>(TranslatedLanguages sheet</t>
    </r>
    <r>
      <rPr>
        <sz val="9"/>
        <color theme="1"/>
        <rFont val="맑은 고딕"/>
        <family val="3"/>
        <charset val="129"/>
      </rPr>
      <t>는</t>
    </r>
    <r>
      <rPr>
        <sz val="9"/>
        <color theme="1"/>
        <rFont val="Calibri"/>
        <family val="2"/>
      </rPr>
      <t xml:space="preserve"> </t>
    </r>
    <r>
      <rPr>
        <sz val="9"/>
        <color theme="1"/>
        <rFont val="맑은 고딕"/>
        <family val="3"/>
        <charset val="129"/>
      </rPr>
      <t>숨겨져</t>
    </r>
    <r>
      <rPr>
        <sz val="9"/>
        <color theme="1"/>
        <rFont val="Calibri"/>
        <family val="2"/>
      </rPr>
      <t xml:space="preserve"> </t>
    </r>
    <r>
      <rPr>
        <sz val="9"/>
        <color theme="1"/>
        <rFont val="맑은 고딕"/>
        <family val="3"/>
        <charset val="129"/>
      </rPr>
      <t>있음</t>
    </r>
    <r>
      <rPr>
        <sz val="9"/>
        <color theme="1"/>
        <rFont val="Calibri"/>
        <family val="2"/>
      </rPr>
      <t>,Sheet</t>
    </r>
    <r>
      <rPr>
        <sz val="9"/>
        <color theme="1"/>
        <rFont val="맑은 고딕"/>
        <family val="3"/>
        <charset val="129"/>
      </rPr>
      <t>메뉴에서</t>
    </r>
    <r>
      <rPr>
        <sz val="9"/>
        <color theme="1"/>
        <rFont val="Calibri"/>
        <family val="2"/>
      </rPr>
      <t xml:space="preserve"> </t>
    </r>
    <r>
      <rPr>
        <sz val="9"/>
        <color theme="1"/>
        <rFont val="맑은 고딕"/>
        <family val="3"/>
        <charset val="129"/>
      </rPr>
      <t>숨기기</t>
    </r>
    <r>
      <rPr>
        <sz val="9"/>
        <color theme="1"/>
        <rFont val="Calibri"/>
        <family val="2"/>
      </rPr>
      <t xml:space="preserve"> </t>
    </r>
    <r>
      <rPr>
        <sz val="9"/>
        <color theme="1"/>
        <rFont val="맑은 고딕"/>
        <family val="3"/>
        <charset val="129"/>
      </rPr>
      <t>취소하면</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있음</t>
    </r>
    <r>
      <rPr>
        <sz val="9"/>
        <color theme="1"/>
        <rFont val="Calibri"/>
        <family val="2"/>
      </rPr>
      <t>)</t>
    </r>
  </si>
  <si>
    <r>
      <rPr>
        <sz val="9"/>
        <color theme="1"/>
        <rFont val="맑은 고딕"/>
        <family val="3"/>
        <charset val="129"/>
      </rPr>
      <t>여기에는</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휴무일만</t>
    </r>
    <r>
      <rPr>
        <sz val="9"/>
        <color theme="1"/>
        <rFont val="Calibri"/>
        <family val="2"/>
      </rPr>
      <t xml:space="preserve"> </t>
    </r>
    <r>
      <rPr>
        <sz val="9"/>
        <color theme="1"/>
        <rFont val="맑은 고딕"/>
        <family val="3"/>
        <charset val="129"/>
      </rPr>
      <t>입력하세요</t>
    </r>
    <r>
      <rPr>
        <sz val="9"/>
        <color theme="1"/>
        <rFont val="Calibri"/>
        <family val="2"/>
      </rPr>
      <t>.</t>
    </r>
    <r>
      <rPr>
        <sz val="9"/>
        <color theme="1"/>
        <rFont val="맑은 고딕"/>
        <family val="3"/>
        <charset val="129"/>
      </rPr>
      <t>휴무일을</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근무일자로</t>
    </r>
    <r>
      <rPr>
        <sz val="9"/>
        <color theme="1"/>
        <rFont val="Calibri"/>
        <family val="2"/>
      </rPr>
      <t xml:space="preserve"> </t>
    </r>
    <r>
      <rPr>
        <sz val="9"/>
        <color theme="1"/>
        <rFont val="맑은 고딕"/>
        <family val="3"/>
        <charset val="129"/>
      </rPr>
      <t>설정됩니다</t>
    </r>
    <r>
      <rPr>
        <sz val="9"/>
        <color theme="1"/>
        <rFont val="Calibri"/>
        <family val="2"/>
      </rPr>
      <t>. \n</t>
    </r>
    <r>
      <rPr>
        <sz val="9"/>
        <color theme="1"/>
        <rFont val="맑은 고딕"/>
        <family val="3"/>
        <charset val="129"/>
      </rPr>
      <t>휴무일을</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계산시</t>
    </r>
    <r>
      <rPr>
        <sz val="9"/>
        <color theme="1"/>
        <rFont val="Calibri"/>
        <family val="2"/>
      </rPr>
      <t xml:space="preserve"> </t>
    </r>
    <r>
      <rPr>
        <sz val="9"/>
        <color theme="1"/>
        <rFont val="맑은 고딕"/>
        <family val="3"/>
        <charset val="129"/>
      </rPr>
      <t>반영합니다</t>
    </r>
    <r>
      <rPr>
        <sz val="9"/>
        <color theme="1"/>
        <rFont val="Calibri"/>
        <family val="2"/>
      </rPr>
      <t xml:space="preserve">. </t>
    </r>
    <r>
      <rPr>
        <sz val="9"/>
        <color theme="1"/>
        <rFont val="맑은 고딕"/>
        <family val="3"/>
        <charset val="129"/>
      </rPr>
      <t>입력한</t>
    </r>
    <r>
      <rPr>
        <sz val="9"/>
        <color theme="1"/>
        <rFont val="Calibri"/>
        <family val="2"/>
      </rPr>
      <t xml:space="preserve"> </t>
    </r>
    <r>
      <rPr>
        <sz val="9"/>
        <color theme="1"/>
        <rFont val="맑은 고딕"/>
        <family val="3"/>
        <charset val="129"/>
      </rPr>
      <t>일자만큼</t>
    </r>
    <r>
      <rPr>
        <sz val="9"/>
        <color theme="1"/>
        <rFont val="Calibri"/>
        <family val="2"/>
      </rPr>
      <t xml:space="preserve"> </t>
    </r>
    <r>
      <rPr>
        <sz val="9"/>
        <color theme="1"/>
        <rFont val="맑은 고딕"/>
        <family val="3"/>
        <charset val="129"/>
      </rPr>
      <t>작업기간에서</t>
    </r>
    <r>
      <rPr>
        <sz val="9"/>
        <color theme="1"/>
        <rFont val="Calibri"/>
        <family val="2"/>
      </rPr>
      <t xml:space="preserve"> </t>
    </r>
    <r>
      <rPr>
        <sz val="9"/>
        <color theme="1"/>
        <rFont val="맑은 고딕"/>
        <family val="3"/>
        <charset val="129"/>
      </rPr>
      <t>제외합니다</t>
    </r>
    <r>
      <rPr>
        <sz val="9"/>
        <color theme="1"/>
        <rFont val="Calibri"/>
        <family val="2"/>
      </rPr>
      <t>.\n(</t>
    </r>
    <r>
      <rPr>
        <sz val="9"/>
        <color theme="1"/>
        <rFont val="맑은 고딕"/>
        <family val="3"/>
        <charset val="129"/>
      </rPr>
      <t>단</t>
    </r>
    <r>
      <rPr>
        <sz val="9"/>
        <color theme="1"/>
        <rFont val="Calibri"/>
        <family val="2"/>
      </rPr>
      <t xml:space="preserve">, </t>
    </r>
    <r>
      <rPr>
        <sz val="9"/>
        <color theme="1"/>
        <rFont val="맑은 고딕"/>
        <family val="3"/>
        <charset val="129"/>
      </rPr>
      <t>옵션창의</t>
    </r>
    <r>
      <rPr>
        <sz val="9"/>
        <color theme="1"/>
        <rFont val="Calibri"/>
        <family val="2"/>
      </rPr>
      <t xml:space="preserve"> </t>
    </r>
    <r>
      <rPr>
        <sz val="9"/>
        <color theme="1"/>
        <rFont val="맑은 고딕"/>
        <family val="3"/>
        <charset val="129"/>
      </rPr>
      <t>캘린더</t>
    </r>
    <r>
      <rPr>
        <sz val="9"/>
        <color theme="1"/>
        <rFont val="Calibri"/>
        <family val="2"/>
      </rPr>
      <t xml:space="preserve"> </t>
    </r>
    <r>
      <rPr>
        <sz val="9"/>
        <color theme="1"/>
        <rFont val="맑은 고딕"/>
        <family val="3"/>
        <charset val="129"/>
      </rPr>
      <t>설정에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휴무일계산방법은</t>
    </r>
    <r>
      <rPr>
        <sz val="9"/>
        <color theme="1"/>
        <rFont val="Calibri"/>
        <family val="2"/>
      </rPr>
      <t xml:space="preserve"> </t>
    </r>
    <r>
      <rPr>
        <sz val="9"/>
        <color theme="1"/>
        <rFont val="맑은 고딕"/>
        <family val="3"/>
        <charset val="129"/>
      </rPr>
      <t>달라질</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.)\n</t>
    </r>
    <r>
      <rPr>
        <sz val="9"/>
        <color theme="1"/>
        <rFont val="맑은 고딕"/>
        <family val="3"/>
        <charset val="129"/>
      </rPr>
      <t>표준캘린더는</t>
    </r>
    <r>
      <rPr>
        <sz val="9"/>
        <color theme="1"/>
        <rFont val="Calibri"/>
        <family val="2"/>
      </rPr>
      <t xml:space="preserve"> </t>
    </r>
    <r>
      <rPr>
        <sz val="9"/>
        <color theme="1"/>
        <rFont val="맑은 고딕"/>
        <family val="3"/>
        <charset val="129"/>
      </rPr>
      <t>기본으로</t>
    </r>
    <r>
      <rPr>
        <sz val="9"/>
        <color theme="1"/>
        <rFont val="Calibri"/>
        <family val="2"/>
      </rPr>
      <t xml:space="preserve"> </t>
    </r>
    <r>
      <rPr>
        <sz val="9"/>
        <color theme="1"/>
        <rFont val="맑은 고딕"/>
        <family val="3"/>
        <charset val="129"/>
      </rPr>
      <t>적용되는</t>
    </r>
    <r>
      <rPr>
        <sz val="9"/>
        <color theme="1"/>
        <rFont val="Calibri"/>
        <family val="2"/>
      </rPr>
      <t xml:space="preserve"> </t>
    </r>
    <r>
      <rPr>
        <sz val="9"/>
        <color theme="1"/>
        <rFont val="맑은 고딕"/>
        <family val="3"/>
        <charset val="129"/>
      </rPr>
      <t>캘린더이며</t>
    </r>
    <r>
      <rPr>
        <sz val="9"/>
        <color theme="1"/>
        <rFont val="Calibri"/>
        <family val="2"/>
      </rPr>
      <t xml:space="preserve"> </t>
    </r>
    <r>
      <rPr>
        <sz val="9"/>
        <color theme="1"/>
        <rFont val="맑은 고딕"/>
        <family val="3"/>
        <charset val="129"/>
      </rPr>
      <t>특정</t>
    </r>
    <r>
      <rPr>
        <sz val="9"/>
        <color theme="1"/>
        <rFont val="Calibri"/>
        <family val="2"/>
      </rPr>
      <t xml:space="preserve"> </t>
    </r>
    <r>
      <rPr>
        <sz val="9"/>
        <color theme="1"/>
        <rFont val="맑은 고딕"/>
        <family val="3"/>
        <charset val="129"/>
      </rPr>
      <t>작업에</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캘린더를</t>
    </r>
    <r>
      <rPr>
        <sz val="9"/>
        <color theme="1"/>
        <rFont val="Calibri"/>
        <family val="2"/>
      </rPr>
      <t xml:space="preserve"> </t>
    </r>
    <r>
      <rPr>
        <sz val="9"/>
        <color theme="1"/>
        <rFont val="맑은 고딕"/>
        <family val="3"/>
        <charset val="129"/>
      </rPr>
      <t>지정하고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 "</t>
    </r>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r>
      <rPr>
        <sz val="9"/>
        <color theme="1"/>
        <rFont val="맑은 고딕"/>
        <family val="3"/>
        <charset val="129"/>
      </rPr>
      <t>에</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지정하여</t>
    </r>
    <r>
      <rPr>
        <sz val="9"/>
        <color theme="1"/>
        <rFont val="Calibri"/>
        <family val="2"/>
      </rPr>
      <t xml:space="preserve"> </t>
    </r>
    <r>
      <rPr>
        <sz val="9"/>
        <color theme="1"/>
        <rFont val="맑은 고딕"/>
        <family val="3"/>
        <charset val="129"/>
      </rPr>
      <t>사용합니다</t>
    </r>
    <r>
      <rPr>
        <sz val="9"/>
        <color theme="1"/>
        <rFont val="Calibri"/>
        <family val="2"/>
      </rPr>
      <t>.</t>
    </r>
    <phoneticPr fontId="1"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</si>
  <si>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({3})</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({4})</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</si>
  <si>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t>
    </r>
    <r>
      <rPr>
        <sz val="9"/>
        <color theme="1"/>
        <rFont val="맑은 고딕"/>
        <family val="3"/>
        <charset val="129"/>
      </rPr>
      <t>엑셀파일이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t>
    </r>
    <r>
      <rPr>
        <sz val="9"/>
        <color theme="1"/>
        <rFont val="맑은 고딕"/>
        <family val="3"/>
        <charset val="129"/>
      </rPr>
      <t>자료</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틀린</t>
    </r>
    <r>
      <rPr>
        <sz val="9"/>
        <color theme="1"/>
        <rFont val="Calibri"/>
        <family val="2"/>
      </rPr>
      <t xml:space="preserve"> </t>
    </r>
    <r>
      <rPr>
        <sz val="9"/>
        <color theme="1"/>
        <rFont val="맑은 고딕"/>
        <family val="3"/>
        <charset val="129"/>
      </rPr>
      <t>경우</t>
    </r>
    <r>
      <rPr>
        <sz val="9"/>
        <color theme="1"/>
        <rFont val="Calibri"/>
        <family val="2"/>
      </rPr>
      <t>(1</t>
    </r>
    <r>
      <rPr>
        <sz val="9"/>
        <color theme="1"/>
        <rFont val="맑은 고딕"/>
        <family val="3"/>
        <charset val="129"/>
      </rPr>
      <t>행에</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들어가</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포맷</t>
    </r>
    <r>
      <rPr>
        <sz val="9"/>
        <color theme="1"/>
        <rFont val="Calibri"/>
        <family val="2"/>
      </rPr>
      <t xml:space="preserve"> </t>
    </r>
    <r>
      <rPr>
        <sz val="9"/>
        <color theme="1"/>
        <rFont val="맑은 고딕"/>
        <family val="3"/>
        <charset val="129"/>
      </rPr>
      <t>또는</t>
    </r>
    <r>
      <rPr>
        <sz val="9"/>
        <color theme="1"/>
        <rFont val="Calibri"/>
        <family val="2"/>
      </rPr>
      <t xml:space="preserve"> XLGantt </t>
    </r>
    <r>
      <rPr>
        <sz val="9"/>
        <color theme="1"/>
        <rFont val="맑은 고딕"/>
        <family val="3"/>
        <charset val="129"/>
      </rPr>
      <t>파일만</t>
    </r>
    <r>
      <rPr>
        <sz val="9"/>
        <color theme="1"/>
        <rFont val="Calibri"/>
        <family val="2"/>
      </rPr>
      <t xml:space="preserve"> </t>
    </r>
    <r>
      <rPr>
        <sz val="9"/>
        <color theme="1"/>
        <rFont val="맑은 고딕"/>
        <family val="3"/>
        <charset val="129"/>
      </rPr>
      <t>허용</t>
    </r>
    <r>
      <rPr>
        <sz val="9"/>
        <color theme="1"/>
        <rFont val="Calibri"/>
        <family val="2"/>
      </rPr>
      <t xml:space="preserve">)\n - </t>
    </r>
    <r>
      <rPr>
        <sz val="9"/>
        <color theme="1"/>
        <rFont val="맑은 고딕"/>
        <family val="3"/>
        <charset val="129"/>
      </rPr>
      <t>이미</t>
    </r>
    <r>
      <rPr>
        <sz val="9"/>
        <color theme="1"/>
        <rFont val="Calibri"/>
        <family val="2"/>
      </rPr>
      <t xml:space="preserve"> </t>
    </r>
    <r>
      <rPr>
        <sz val="9"/>
        <color theme="1"/>
        <rFont val="맑은 고딕"/>
        <family val="3"/>
        <charset val="129"/>
      </rPr>
      <t>열려있는</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또</t>
    </r>
    <r>
      <rPr>
        <sz val="9"/>
        <color theme="1"/>
        <rFont val="Calibri"/>
        <family val="2"/>
      </rPr>
      <t xml:space="preserve"> </t>
    </r>
    <r>
      <rPr>
        <sz val="9"/>
        <color theme="1"/>
        <rFont val="맑은 고딕"/>
        <family val="3"/>
        <charset val="129"/>
      </rPr>
      <t>열다가</t>
    </r>
    <r>
      <rPr>
        <sz val="9"/>
        <color theme="1"/>
        <rFont val="Calibri"/>
        <family val="2"/>
      </rPr>
      <t xml:space="preserve"> </t>
    </r>
    <r>
      <rPr>
        <sz val="9"/>
        <color theme="1"/>
        <rFont val="맑은 고딕"/>
        <family val="3"/>
        <charset val="129"/>
      </rPr>
      <t>취소하는</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</si>
  <si>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가져올</t>
    </r>
    <r>
      <rPr>
        <sz val="9"/>
        <color theme="1"/>
        <rFont val="Calibri"/>
        <family val="2"/>
      </rPr>
      <t xml:space="preserve"> </t>
    </r>
    <r>
      <rPr>
        <sz val="9"/>
        <color theme="1"/>
        <rFont val="맑은 고딕"/>
        <family val="3"/>
        <charset val="129"/>
      </rPr>
      <t>파일이</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 xml:space="preserve">가능_x000D_
</t>
    </r>
    <r>
      <rPr>
        <sz val="9"/>
        <color theme="1"/>
        <rFont val="Calibri"/>
        <family val="2"/>
      </rPr>
      <t>\n* XLGantt</t>
    </r>
    <r>
      <rPr>
        <sz val="9"/>
        <color theme="1"/>
        <rFont val="맑은 고딕"/>
        <family val="3"/>
        <charset val="129"/>
      </rPr>
      <t>의</t>
    </r>
    <r>
      <rPr>
        <sz val="9"/>
        <color theme="1"/>
        <rFont val="Calibri"/>
        <family val="2"/>
      </rPr>
      <t xml:space="preserve"> </t>
    </r>
    <r>
      <rPr>
        <sz val="9"/>
        <color theme="1"/>
        <rFont val="맑은 고딕"/>
        <family val="3"/>
        <charset val="129"/>
      </rPr>
      <t>버전이</t>
    </r>
    <r>
      <rPr>
        <sz val="9"/>
        <color theme="1"/>
        <rFont val="Calibri"/>
        <family val="2"/>
      </rPr>
      <t xml:space="preserve"> 0.9.7 </t>
    </r>
    <r>
      <rPr>
        <sz val="9"/>
        <color theme="1"/>
        <rFont val="맑은 고딕"/>
        <family val="3"/>
        <charset val="129"/>
      </rPr>
      <t>이상인</t>
    </r>
    <r>
      <rPr>
        <sz val="9"/>
        <color theme="1"/>
        <rFont val="Calibri"/>
        <family val="2"/>
      </rPr>
      <t xml:space="preserve"> </t>
    </r>
    <r>
      <rPr>
        <sz val="9"/>
        <color theme="1"/>
        <rFont val="맑은 고딕"/>
        <family val="3"/>
        <charset val="129"/>
      </rPr>
      <t>경우만</t>
    </r>
    <r>
      <rPr>
        <sz val="9"/>
        <color theme="1"/>
        <rFont val="Calibri"/>
        <family val="2"/>
      </rPr>
      <t xml:space="preserve"> </t>
    </r>
    <r>
      <rPr>
        <sz val="9"/>
        <color theme="1"/>
        <rFont val="맑은 고딕"/>
        <family val="3"/>
        <charset val="129"/>
      </rPr>
      <t>가능</t>
    </r>
    <r>
      <rPr>
        <sz val="9"/>
        <color theme="1"/>
        <rFont val="Calibri"/>
        <family val="2"/>
      </rPr>
      <t xml:space="preserve">\n* </t>
    </r>
    <r>
      <rPr>
        <sz val="9"/>
        <color theme="1"/>
        <rFont val="맑은 고딕"/>
        <family val="3"/>
        <charset val="129"/>
      </rPr>
      <t>자료의</t>
    </r>
    <r>
      <rPr>
        <sz val="9"/>
        <color theme="1"/>
        <rFont val="Calibri"/>
        <family val="2"/>
      </rPr>
      <t xml:space="preserve"> </t>
    </r>
    <r>
      <rPr>
        <sz val="9"/>
        <color theme="1"/>
        <rFont val="맑은 고딕"/>
        <family val="3"/>
        <charset val="129"/>
      </rPr>
      <t>갯수는</t>
    </r>
    <r>
      <rPr>
        <sz val="9"/>
        <color theme="1"/>
        <rFont val="Calibri"/>
        <family val="2"/>
      </rPr>
      <t xml:space="preserve"> 10,000</t>
    </r>
    <r>
      <rPr>
        <sz val="9"/>
        <color theme="1"/>
        <rFont val="맑은 고딕"/>
        <family val="3"/>
        <charset val="129"/>
      </rPr>
      <t>개</t>
    </r>
    <r>
      <rPr>
        <sz val="9"/>
        <color theme="1"/>
        <rFont val="Calibri"/>
        <family val="2"/>
      </rPr>
      <t xml:space="preserve"> </t>
    </r>
    <r>
      <rPr>
        <sz val="9"/>
        <color theme="1"/>
        <rFont val="맑은 고딕"/>
        <family val="3"/>
        <charset val="129"/>
      </rPr>
      <t>이하까지만</t>
    </r>
    <r>
      <rPr>
        <sz val="9"/>
        <color theme="1"/>
        <rFont val="Calibri"/>
        <family val="2"/>
      </rPr>
      <t xml:space="preserve"> </t>
    </r>
    <r>
      <rPr>
        <sz val="9"/>
        <color theme="1"/>
        <rFont val="맑은 고딕"/>
        <family val="3"/>
        <charset val="129"/>
      </rPr>
      <t xml:space="preserve">처리됨_x000D_
</t>
    </r>
    <r>
      <rPr>
        <sz val="9"/>
        <color theme="1"/>
        <rFont val="Calibri"/>
        <family val="2"/>
      </rPr>
      <t xml:space="preserve">\n* </t>
    </r>
    <r>
      <rPr>
        <sz val="9"/>
        <color theme="1"/>
        <rFont val="맑은 고딕"/>
        <family val="3"/>
        <charset val="129"/>
      </rPr>
      <t>여러개의</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동시처리</t>
    </r>
    <r>
      <rPr>
        <sz val="9"/>
        <color theme="1"/>
        <rFont val="Calibri"/>
        <family val="2"/>
      </rPr>
      <t xml:space="preserve"> </t>
    </r>
    <r>
      <rPr>
        <sz val="9"/>
        <color theme="1"/>
        <rFont val="맑은 고딕"/>
        <family val="3"/>
        <charset val="129"/>
      </rPr>
      <t xml:space="preserve">가능_x000D_
</t>
    </r>
  </si>
  <si>
    <r>
      <rPr>
        <sz val="9"/>
        <color theme="1"/>
        <rFont val="맑은 고딕"/>
        <family val="3"/>
        <charset val="129"/>
      </rPr>
      <t>프로젝트</t>
    </r>
    <r>
      <rPr>
        <sz val="9"/>
        <color theme="1"/>
        <rFont val="Calibri"/>
        <family val="2"/>
      </rPr>
      <t xml:space="preserve"> </t>
    </r>
    <r>
      <rPr>
        <sz val="9"/>
        <color theme="1"/>
        <rFont val="맑은 고딕"/>
        <family val="3"/>
        <charset val="129"/>
      </rPr>
      <t>기간이</t>
    </r>
    <r>
      <rPr>
        <sz val="9"/>
        <color theme="1"/>
        <rFont val="Calibri"/>
        <family val="2"/>
      </rPr>
      <t xml:space="preserve"> </t>
    </r>
    <r>
      <rPr>
        <sz val="9"/>
        <color theme="1"/>
        <rFont val="맑은 고딕"/>
        <family val="3"/>
        <charset val="129"/>
      </rPr>
      <t>너무</t>
    </r>
    <r>
      <rPr>
        <sz val="9"/>
        <color theme="1"/>
        <rFont val="Calibri"/>
        <family val="2"/>
      </rPr>
      <t xml:space="preserve"> </t>
    </r>
    <r>
      <rPr>
        <sz val="9"/>
        <color theme="1"/>
        <rFont val="맑은 고딕"/>
        <family val="3"/>
        <charset val="129"/>
      </rPr>
      <t>깁니다</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시작일자는</t>
    </r>
    <r>
      <rPr>
        <sz val="9"/>
        <color theme="1"/>
        <rFont val="Calibri"/>
        <family val="2"/>
      </rPr>
      <t xml:space="preserve"> {1}</t>
    </r>
    <r>
      <rPr>
        <sz val="9"/>
        <color theme="1"/>
        <rFont val="맑은 고딕"/>
        <family val="3"/>
        <charset val="129"/>
      </rPr>
      <t>이고</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완료일자는</t>
    </r>
    <r>
      <rPr>
        <sz val="9"/>
        <color theme="1"/>
        <rFont val="Calibri"/>
        <family val="2"/>
      </rPr>
      <t xml:space="preserve"> {2}</t>
    </r>
    <r>
      <rPr>
        <sz val="9"/>
        <color theme="1"/>
        <rFont val="맑은 고딕"/>
        <family val="3"/>
        <charset val="129"/>
      </rPr>
      <t>이므로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기간은</t>
    </r>
    <r>
      <rPr>
        <sz val="9"/>
        <color theme="1"/>
        <rFont val="Calibri"/>
        <family val="2"/>
      </rPr>
      <t xml:space="preserve"> {3}</t>
    </r>
    <r>
      <rPr>
        <sz val="9"/>
        <color theme="1"/>
        <rFont val="맑은 고딕"/>
        <family val="3"/>
        <charset val="129"/>
      </rPr>
      <t>일입니다</t>
    </r>
    <r>
      <rPr>
        <sz val="9"/>
        <color theme="1"/>
        <rFont val="Calibri"/>
        <family val="2"/>
      </rPr>
      <t>. XLGantt</t>
    </r>
    <r>
      <rPr>
        <sz val="9"/>
        <color theme="1"/>
        <rFont val="맑은 고딕"/>
        <family val="3"/>
        <charset val="129"/>
      </rPr>
      <t>에서</t>
    </r>
    <r>
      <rPr>
        <sz val="9"/>
        <color theme="1"/>
        <rFont val="Calibri"/>
        <family val="2"/>
      </rPr>
      <t xml:space="preserve"> </t>
    </r>
    <r>
      <rPr>
        <sz val="9"/>
        <color theme="1"/>
        <rFont val="맑은 고딕"/>
        <family val="3"/>
        <charset val="129"/>
      </rPr>
      <t>허용되는</t>
    </r>
    <r>
      <rPr>
        <sz val="9"/>
        <color theme="1"/>
        <rFont val="Calibri"/>
        <family val="2"/>
      </rPr>
      <t xml:space="preserve"> </t>
    </r>
    <r>
      <rPr>
        <sz val="9"/>
        <color theme="1"/>
        <rFont val="맑은 고딕"/>
        <family val="3"/>
        <charset val="129"/>
      </rPr>
      <t>최대일수는</t>
    </r>
    <r>
      <rPr>
        <sz val="9"/>
        <color theme="1"/>
        <rFont val="Calibri"/>
        <family val="2"/>
      </rPr>
      <t xml:space="preserve"> {4}</t>
    </r>
    <r>
      <rPr>
        <sz val="9"/>
        <color theme="1"/>
        <rFont val="맑은 고딕"/>
        <family val="3"/>
        <charset val="129"/>
      </rPr>
      <t>일입니다</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XLGantt</t>
    </r>
    <r>
      <rPr>
        <sz val="9"/>
        <color theme="1"/>
        <rFont val="맑은 고딕"/>
        <family val="3"/>
        <charset val="129"/>
      </rPr>
      <t>에서</t>
    </r>
    <r>
      <rPr>
        <sz val="9"/>
        <color theme="1"/>
        <rFont val="Calibri"/>
        <family val="2"/>
      </rPr>
      <t xml:space="preserve"> </t>
    </r>
    <r>
      <rPr>
        <sz val="9"/>
        <color theme="1"/>
        <rFont val="맑은 고딕"/>
        <family val="3"/>
        <charset val="129"/>
      </rPr>
      <t>허용하는</t>
    </r>
    <r>
      <rPr>
        <sz val="9"/>
        <color theme="1"/>
        <rFont val="Calibri"/>
        <family val="2"/>
      </rPr>
      <t xml:space="preserve"> </t>
    </r>
    <r>
      <rPr>
        <sz val="9"/>
        <color theme="1"/>
        <rFont val="맑은 고딕"/>
        <family val="3"/>
        <charset val="129"/>
      </rPr>
      <t>범위내로</t>
    </r>
    <r>
      <rPr>
        <sz val="9"/>
        <color theme="1"/>
        <rFont val="Calibri"/>
        <family val="2"/>
      </rPr>
      <t xml:space="preserve"> </t>
    </r>
    <r>
      <rPr>
        <sz val="9"/>
        <color theme="1"/>
        <rFont val="맑은 고딕"/>
        <family val="3"/>
        <charset val="129"/>
      </rPr>
      <t>줄이십시오</t>
    </r>
    <r>
      <rPr>
        <sz val="9"/>
        <color theme="1"/>
        <rFont val="Calibri"/>
        <family val="2"/>
      </rPr>
      <t>.</t>
    </r>
  </si>
  <si>
    <r>
      <rPr>
        <sz val="9"/>
        <color theme="1"/>
        <rFont val="맑은 고딕"/>
        <family val="3"/>
        <charset val="129"/>
      </rPr>
      <t>토요일</t>
    </r>
    <r>
      <rPr>
        <sz val="9"/>
        <color theme="1"/>
        <rFont val="Calibri"/>
        <family val="2"/>
      </rPr>
      <t>,</t>
    </r>
    <r>
      <rPr>
        <sz val="9"/>
        <color theme="1"/>
        <rFont val="맑은 고딕"/>
        <family val="3"/>
        <charset val="129"/>
      </rPr>
      <t>일요일</t>
    </r>
    <r>
      <rPr>
        <sz val="9"/>
        <color theme="1"/>
        <rFont val="Calibri"/>
        <family val="2"/>
      </rPr>
      <t xml:space="preserve"> </t>
    </r>
    <r>
      <rPr>
        <sz val="9"/>
        <color theme="1"/>
        <rFont val="맑은 고딕"/>
        <family val="3"/>
        <charset val="129"/>
      </rPr>
      <t>및</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날짜_x000D_</t>
    </r>
    <phoneticPr fontId="1" type="noConversion"/>
  </si>
  <si>
    <r>
      <rPr>
        <sz val="9"/>
        <color theme="1"/>
        <rFont val="맑은 고딕"/>
        <family val="3"/>
        <charset val="129"/>
      </rPr>
      <t>엑셀간트는</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지원하는데</t>
    </r>
    <r>
      <rPr>
        <sz val="9"/>
        <color theme="1"/>
        <rFont val="Calibri"/>
        <family val="2"/>
      </rPr>
      <t xml:space="preserve"> </t>
    </r>
    <r>
      <rPr>
        <sz val="9"/>
        <color theme="1"/>
        <rFont val="맑은 고딕"/>
        <family val="3"/>
        <charset val="129"/>
      </rPr>
      <t>프로그램을</t>
    </r>
    <r>
      <rPr>
        <sz val="9"/>
        <color theme="1"/>
        <rFont val="Calibri"/>
        <family val="2"/>
      </rPr>
      <t xml:space="preserve"> </t>
    </r>
    <r>
      <rPr>
        <sz val="9"/>
        <color theme="1"/>
        <rFont val="맑은 고딕"/>
        <family val="3"/>
        <charset val="129"/>
      </rPr>
      <t>수정하지</t>
    </r>
    <r>
      <rPr>
        <sz val="9"/>
        <color theme="1"/>
        <rFont val="Calibri"/>
        <family val="2"/>
      </rPr>
      <t xml:space="preserve"> </t>
    </r>
    <r>
      <rPr>
        <sz val="9"/>
        <color theme="1"/>
        <rFont val="맑은 고딕"/>
        <family val="3"/>
        <charset val="129"/>
      </rPr>
      <t>않고</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다국어를</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현재는</t>
    </r>
    <r>
      <rPr>
        <sz val="9"/>
        <color theme="1"/>
        <rFont val="Calibri"/>
        <family val="2"/>
      </rPr>
      <t xml:space="preserve"> </t>
    </r>
    <r>
      <rPr>
        <sz val="9"/>
        <color theme="1"/>
        <rFont val="맑은 고딕"/>
        <family val="3"/>
        <charset val="129"/>
      </rPr>
      <t>한국어</t>
    </r>
    <r>
      <rPr>
        <sz val="9"/>
        <color theme="1"/>
        <rFont val="Calibri"/>
        <family val="2"/>
      </rPr>
      <t xml:space="preserve">, </t>
    </r>
    <r>
      <rPr>
        <sz val="9"/>
        <color theme="1"/>
        <rFont val="맑은 고딕"/>
        <family val="3"/>
        <charset val="129"/>
      </rPr>
      <t>영어</t>
    </r>
    <r>
      <rPr>
        <sz val="9"/>
        <color theme="1"/>
        <rFont val="Calibri"/>
        <family val="2"/>
      </rPr>
      <t xml:space="preserve"> 2</t>
    </r>
    <r>
      <rPr>
        <sz val="9"/>
        <color theme="1"/>
        <rFont val="맑은 고딕"/>
        <family val="3"/>
        <charset val="129"/>
      </rPr>
      <t>개</t>
    </r>
    <r>
      <rPr>
        <sz val="9"/>
        <color theme="1"/>
        <rFont val="Calibri"/>
        <family val="2"/>
      </rPr>
      <t xml:space="preserve"> </t>
    </r>
    <r>
      <rPr>
        <sz val="9"/>
        <color theme="1"/>
        <rFont val="맑은 고딕"/>
        <family val="3"/>
        <charset val="129"/>
      </rPr>
      <t>국어가</t>
    </r>
    <r>
      <rPr>
        <sz val="9"/>
        <color theme="1"/>
        <rFont val="Calibri"/>
        <family val="2"/>
      </rPr>
      <t xml:space="preserve"> </t>
    </r>
    <r>
      <rPr>
        <sz val="9"/>
        <color theme="1"/>
        <rFont val="맑은 고딕"/>
        <family val="3"/>
        <charset val="129"/>
      </rPr>
      <t>추가되어</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</si>
  <si>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r>
      <rPr>
        <sz val="9"/>
        <color theme="1"/>
        <rFont val="Calibri"/>
        <family val="2"/>
      </rPr>
      <t xml:space="preserve"> </t>
    </r>
    <r>
      <rPr>
        <sz val="9"/>
        <color theme="1"/>
        <rFont val="맑은 고딕"/>
        <family val="3"/>
        <charset val="129"/>
      </rPr>
      <t>지정</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설정</t>
    </r>
    <r>
      <rPr>
        <sz val="9"/>
        <color theme="1"/>
        <rFont val="Calibri"/>
        <family val="2"/>
      </rPr>
      <t xml:space="preserve">, </t>
    </r>
    <r>
      <rPr>
        <sz val="9"/>
        <color theme="1"/>
        <rFont val="맑은 고딕"/>
        <family val="3"/>
        <charset val="129"/>
      </rPr>
      <t>주차표시</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리본메뉴</t>
    </r>
    <r>
      <rPr>
        <sz val="9"/>
        <color theme="1"/>
        <rFont val="Calibri"/>
        <family val="2"/>
      </rPr>
      <t xml:space="preserve"> &gt; XLGantt – Project Scheduler &gt; </t>
    </r>
    <r>
      <rPr>
        <sz val="9"/>
        <color theme="1"/>
        <rFont val="맑은 고딕"/>
        <family val="3"/>
        <charset val="129"/>
      </rPr>
      <t>옵션</t>
    </r>
    <r>
      <rPr>
        <sz val="9"/>
        <color theme="1"/>
        <rFont val="Calibri"/>
        <family val="2"/>
      </rPr>
      <t xml:space="preserve"> &gt; “Calendar” </t>
    </r>
    <r>
      <rPr>
        <sz val="9"/>
        <color theme="1"/>
        <rFont val="맑은 고딕"/>
        <family val="3"/>
        <charset val="129"/>
      </rPr>
      <t>탭에서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</si>
  <si>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Server</t>
    </r>
    <r>
      <rPr>
        <sz val="9"/>
        <color theme="1"/>
        <rFont val="맑은 고딕"/>
        <family val="3"/>
        <charset val="129"/>
      </rPr>
      <t>에서</t>
    </r>
    <r>
      <rPr>
        <sz val="9"/>
        <color theme="1"/>
        <rFont val="Calibri"/>
        <family val="2"/>
      </rPr>
      <t xml:space="preserve"> </t>
    </r>
    <r>
      <rPr>
        <sz val="9"/>
        <color theme="1"/>
        <rFont val="맑은 고딕"/>
        <family val="3"/>
        <charset val="129"/>
      </rPr>
      <t>일정관리</t>
    </r>
    <r>
      <rPr>
        <sz val="9"/>
        <color theme="1"/>
        <rFont val="Calibri"/>
        <family val="2"/>
      </rPr>
      <t xml:space="preserve"> </t>
    </r>
    <r>
      <rPr>
        <sz val="9"/>
        <color theme="1"/>
        <rFont val="맑은 고딕"/>
        <family val="3"/>
        <charset val="129"/>
      </rPr>
      <t>데이터를</t>
    </r>
    <r>
      <rPr>
        <sz val="9"/>
        <color theme="1"/>
        <rFont val="Calibri"/>
        <family val="2"/>
      </rPr>
      <t xml:space="preserve"> ServerData </t>
    </r>
    <r>
      <rPr>
        <sz val="9"/>
        <color theme="1"/>
        <rFont val="맑은 고딕"/>
        <family val="3"/>
        <charset val="129"/>
      </rPr>
      <t>시트에</t>
    </r>
    <r>
      <rPr>
        <sz val="9"/>
        <color theme="1"/>
        <rFont val="Calibri"/>
        <family val="2"/>
      </rPr>
      <t xml:space="preserve"> </t>
    </r>
    <r>
      <rPr>
        <sz val="9"/>
        <color theme="1"/>
        <rFont val="맑은 고딕"/>
        <family val="3"/>
        <charset val="129"/>
      </rPr>
      <t>넣은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다운로드하고</t>
    </r>
    <r>
      <rPr>
        <sz val="9"/>
        <color theme="1"/>
        <rFont val="Calibri"/>
        <family val="2"/>
      </rPr>
      <t xml:space="preserve"> XLGantt </t>
    </r>
    <r>
      <rPr>
        <sz val="9"/>
        <color theme="1"/>
        <rFont val="맑은 고딕"/>
        <family val="3"/>
        <charset val="129"/>
      </rPr>
      <t>파일을</t>
    </r>
    <r>
      <rPr>
        <sz val="9"/>
        <color theme="1"/>
        <rFont val="Calibri"/>
        <family val="2"/>
      </rPr>
      <t xml:space="preserve"> </t>
    </r>
    <r>
      <rPr>
        <sz val="9"/>
        <color theme="1"/>
        <rFont val="맑은 고딕"/>
        <family val="3"/>
        <charset val="129"/>
      </rPr>
      <t>열면</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데이터가</t>
    </r>
    <r>
      <rPr>
        <sz val="9"/>
        <color theme="1"/>
        <rFont val="Calibri"/>
        <family val="2"/>
      </rPr>
      <t xml:space="preserve"> Schedule </t>
    </r>
    <r>
      <rPr>
        <sz val="9"/>
        <color theme="1"/>
        <rFont val="맑은 고딕"/>
        <family val="3"/>
        <charset val="129"/>
      </rPr>
      <t>시트로</t>
    </r>
    <r>
      <rPr>
        <sz val="9"/>
        <color theme="1"/>
        <rFont val="Calibri"/>
        <family val="2"/>
      </rPr>
      <t xml:space="preserve"> </t>
    </r>
    <r>
      <rPr>
        <sz val="9"/>
        <color theme="1"/>
        <rFont val="맑은 고딕"/>
        <family val="3"/>
        <charset val="129"/>
      </rPr>
      <t>들어온다</t>
    </r>
    <r>
      <rPr>
        <sz val="9"/>
        <color theme="1"/>
        <rFont val="Calibri"/>
        <family val="2"/>
      </rPr>
      <t xml:space="preserve">. </t>
    </r>
    <r>
      <rPr>
        <sz val="9"/>
        <color theme="1"/>
        <rFont val="맑은 고딕"/>
        <family val="3"/>
        <charset val="129"/>
      </rPr>
      <t>서버에서</t>
    </r>
    <r>
      <rPr>
        <sz val="9"/>
        <color theme="1"/>
        <rFont val="Calibri"/>
        <family val="2"/>
      </rPr>
      <t xml:space="preserve"> </t>
    </r>
    <r>
      <rPr>
        <sz val="9"/>
        <color theme="1"/>
        <rFont val="맑은 고딕"/>
        <family val="3"/>
        <charset val="129"/>
      </rPr>
      <t>작업연결정보를</t>
    </r>
    <r>
      <rPr>
        <sz val="9"/>
        <color theme="1"/>
        <rFont val="Calibri"/>
        <family val="2"/>
      </rPr>
      <t xml:space="preserve"> </t>
    </r>
    <r>
      <rPr>
        <sz val="9"/>
        <color theme="1"/>
        <rFont val="맑은 고딕"/>
        <family val="3"/>
        <charset val="129"/>
      </rPr>
      <t>내려주면</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연결해서</t>
    </r>
    <r>
      <rPr>
        <sz val="9"/>
        <color theme="1"/>
        <rFont val="Calibri"/>
        <family val="2"/>
      </rPr>
      <t xml:space="preserve"> </t>
    </r>
    <r>
      <rPr>
        <sz val="9"/>
        <color theme="1"/>
        <rFont val="맑은 고딕"/>
        <family val="3"/>
        <charset val="129"/>
      </rPr>
      <t>보여준다</t>
    </r>
    <r>
      <rPr>
        <sz val="9"/>
        <color theme="1"/>
        <rFont val="Calibri"/>
        <family val="2"/>
      </rPr>
      <t>.</t>
    </r>
    <phoneticPr fontId="1" type="noConversion"/>
  </si>
  <si>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xlworks.net</t>
    </r>
    <r>
      <rPr>
        <sz val="9"/>
        <color theme="1"/>
        <rFont val="맑은 고딕"/>
        <family val="3"/>
        <charset val="129"/>
      </rPr>
      <t>에서</t>
    </r>
    <r>
      <rPr>
        <sz val="9"/>
        <color theme="1"/>
        <rFont val="Calibri"/>
        <family val="2"/>
      </rPr>
      <t xml:space="preserve"> </t>
    </r>
    <r>
      <rPr>
        <sz val="9"/>
        <color theme="1"/>
        <rFont val="맑은 고딕"/>
        <family val="3"/>
        <charset val="129"/>
      </rPr>
      <t>개발하고</t>
    </r>
    <r>
      <rPr>
        <sz val="9"/>
        <color theme="1"/>
        <rFont val="Calibri"/>
        <family val="2"/>
      </rPr>
      <t xml:space="preserve"> </t>
    </r>
    <r>
      <rPr>
        <sz val="9"/>
        <color theme="1"/>
        <rFont val="맑은 고딕"/>
        <family val="3"/>
        <charset val="129"/>
      </rPr>
      <t>배포하는</t>
    </r>
    <r>
      <rPr>
        <sz val="9"/>
        <color theme="1"/>
        <rFont val="Calibri"/>
        <family val="2"/>
      </rPr>
      <t xml:space="preserve"> </t>
    </r>
    <r>
      <rPr>
        <sz val="9"/>
        <color theme="1"/>
        <rFont val="맑은 고딕"/>
        <family val="3"/>
        <charset val="129"/>
      </rPr>
      <t>무료</t>
    </r>
    <r>
      <rPr>
        <sz val="9"/>
        <color theme="1"/>
        <rFont val="Calibri"/>
        <family val="2"/>
      </rPr>
      <t xml:space="preserve"> </t>
    </r>
    <r>
      <rPr>
        <sz val="9"/>
        <color theme="1"/>
        <rFont val="맑은 고딕"/>
        <family val="3"/>
        <charset val="129"/>
      </rPr>
      <t>소프트웨어</t>
    </r>
    <r>
      <rPr>
        <sz val="9"/>
        <color theme="1"/>
        <rFont val="Calibri"/>
        <family val="2"/>
      </rPr>
      <t>(Freeware)</t>
    </r>
    <r>
      <rPr>
        <sz val="9"/>
        <color theme="1"/>
        <rFont val="맑은 고딕"/>
        <family val="3"/>
        <charset val="129"/>
      </rPr>
      <t>입니다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프로그램은</t>
    </r>
    <r>
      <rPr>
        <sz val="9"/>
        <color theme="1"/>
        <rFont val="Calibri"/>
        <family val="2"/>
      </rPr>
      <t xml:space="preserve"> </t>
    </r>
    <r>
      <rPr>
        <sz val="9"/>
        <color theme="1"/>
        <rFont val="맑은 고딕"/>
        <family val="3"/>
        <charset val="129"/>
      </rPr>
      <t>개인</t>
    </r>
    <r>
      <rPr>
        <sz val="9"/>
        <color theme="1"/>
        <rFont val="Calibri"/>
        <family val="2"/>
      </rPr>
      <t>/</t>
    </r>
    <r>
      <rPr>
        <sz val="9"/>
        <color theme="1"/>
        <rFont val="맑은 고딕"/>
        <family val="3"/>
        <charset val="129"/>
      </rPr>
      <t>기업</t>
    </r>
    <r>
      <rPr>
        <sz val="9"/>
        <color theme="1"/>
        <rFont val="Calibri"/>
        <family val="2"/>
      </rPr>
      <t>/</t>
    </r>
    <r>
      <rPr>
        <sz val="9"/>
        <color theme="1"/>
        <rFont val="맑은 고딕"/>
        <family val="3"/>
        <charset val="129"/>
      </rPr>
      <t>관공서</t>
    </r>
    <r>
      <rPr>
        <sz val="9"/>
        <color theme="1"/>
        <rFont val="Calibri"/>
        <family val="2"/>
      </rPr>
      <t>/</t>
    </r>
    <r>
      <rPr>
        <sz val="9"/>
        <color theme="1"/>
        <rFont val="맑은 고딕"/>
        <family val="3"/>
        <charset val="129"/>
      </rPr>
      <t>학교</t>
    </r>
    <r>
      <rPr>
        <sz val="9"/>
        <color theme="1"/>
        <rFont val="Calibri"/>
        <family val="2"/>
      </rPr>
      <t xml:space="preserve"> </t>
    </r>
    <r>
      <rPr>
        <sz val="9"/>
        <color theme="1"/>
        <rFont val="맑은 고딕"/>
        <family val="3"/>
        <charset val="129"/>
      </rPr>
      <t>등</t>
    </r>
    <r>
      <rPr>
        <sz val="9"/>
        <color theme="1"/>
        <rFont val="Calibri"/>
        <family val="2"/>
      </rPr>
      <t xml:space="preserve"> </t>
    </r>
    <r>
      <rPr>
        <sz val="9"/>
        <color theme="1"/>
        <rFont val="맑은 고딕"/>
        <family val="3"/>
        <charset val="129"/>
      </rPr>
      <t>언제나</t>
    </r>
    <r>
      <rPr>
        <sz val="9"/>
        <color theme="1"/>
        <rFont val="Calibri"/>
        <family val="2"/>
      </rPr>
      <t xml:space="preserve"> </t>
    </r>
    <r>
      <rPr>
        <sz val="9"/>
        <color theme="1"/>
        <rFont val="맑은 고딕"/>
        <family val="3"/>
        <charset val="129"/>
      </rPr>
      <t>어디서나</t>
    </r>
    <r>
      <rPr>
        <sz val="9"/>
        <color theme="1"/>
        <rFont val="Calibri"/>
        <family val="2"/>
      </rPr>
      <t xml:space="preserve"> </t>
    </r>
    <r>
      <rPr>
        <sz val="9"/>
        <color theme="1"/>
        <rFont val="맑은 고딕"/>
        <family val="3"/>
        <charset val="129"/>
      </rPr>
      <t>무료로</t>
    </r>
    <r>
      <rPr>
        <sz val="9"/>
        <color theme="1"/>
        <rFont val="Calibri"/>
        <family val="2"/>
      </rPr>
      <t xml:space="preserve"> </t>
    </r>
    <r>
      <rPr>
        <sz val="9"/>
        <color theme="1"/>
        <rFont val="맑은 고딕"/>
        <family val="3"/>
        <charset val="129"/>
      </rPr>
      <t>사용이</t>
    </r>
    <r>
      <rPr>
        <sz val="9"/>
        <color theme="1"/>
        <rFont val="Calibri"/>
        <family val="2"/>
      </rPr>
      <t xml:space="preserve"> </t>
    </r>
    <r>
      <rPr>
        <sz val="9"/>
        <color theme="1"/>
        <rFont val="맑은 고딕"/>
        <family val="3"/>
        <charset val="129"/>
      </rPr>
      <t>가능합니다</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저작권법과</t>
    </r>
    <r>
      <rPr>
        <sz val="9"/>
        <color theme="1"/>
        <rFont val="Calibri"/>
        <family val="2"/>
      </rPr>
      <t xml:space="preserve"> </t>
    </r>
    <r>
      <rPr>
        <sz val="9"/>
        <color theme="1"/>
        <rFont val="맑은 고딕"/>
        <family val="3"/>
        <charset val="129"/>
      </rPr>
      <t>기타</t>
    </r>
    <r>
      <rPr>
        <sz val="9"/>
        <color theme="1"/>
        <rFont val="Calibri"/>
        <family val="2"/>
      </rPr>
      <t xml:space="preserve"> </t>
    </r>
    <r>
      <rPr>
        <sz val="9"/>
        <color theme="1"/>
        <rFont val="맑은 고딕"/>
        <family val="3"/>
        <charset val="129"/>
      </rPr>
      <t>지적재산권</t>
    </r>
    <r>
      <rPr>
        <sz val="9"/>
        <color theme="1"/>
        <rFont val="Calibri"/>
        <family val="2"/>
      </rPr>
      <t xml:space="preserve"> </t>
    </r>
    <r>
      <rPr>
        <sz val="9"/>
        <color theme="1"/>
        <rFont val="맑은 고딕"/>
        <family val="3"/>
        <charset val="129"/>
      </rPr>
      <t>관련</t>
    </r>
    <r>
      <rPr>
        <sz val="9"/>
        <color theme="1"/>
        <rFont val="Calibri"/>
        <family val="2"/>
      </rPr>
      <t xml:space="preserve"> </t>
    </r>
    <r>
      <rPr>
        <sz val="9"/>
        <color theme="1"/>
        <rFont val="맑은 고딕"/>
        <family val="3"/>
        <charset val="129"/>
      </rPr>
      <t>법률</t>
    </r>
    <r>
      <rPr>
        <sz val="9"/>
        <color theme="1"/>
        <rFont val="Calibri"/>
        <family val="2"/>
      </rPr>
      <t xml:space="preserve"> </t>
    </r>
    <r>
      <rPr>
        <sz val="9"/>
        <color theme="1"/>
        <rFont val="맑은 고딕"/>
        <family val="3"/>
        <charset val="129"/>
      </rPr>
      <t>및</t>
    </r>
    <r>
      <rPr>
        <sz val="9"/>
        <color theme="1"/>
        <rFont val="Calibri"/>
        <family val="2"/>
      </rPr>
      <t xml:space="preserve"> </t>
    </r>
    <r>
      <rPr>
        <sz val="9"/>
        <color theme="1"/>
        <rFont val="맑은 고딕"/>
        <family val="3"/>
        <charset val="129"/>
      </rPr>
      <t>국제</t>
    </r>
    <r>
      <rPr>
        <sz val="9"/>
        <color theme="1"/>
        <rFont val="Calibri"/>
        <family val="2"/>
      </rPr>
      <t xml:space="preserve"> </t>
    </r>
    <r>
      <rPr>
        <sz val="9"/>
        <color theme="1"/>
        <rFont val="맑은 고딕"/>
        <family val="3"/>
        <charset val="129"/>
      </rPr>
      <t>협약에</t>
    </r>
    <r>
      <rPr>
        <sz val="9"/>
        <color theme="1"/>
        <rFont val="Calibri"/>
        <family val="2"/>
      </rPr>
      <t xml:space="preserve"> </t>
    </r>
    <r>
      <rPr>
        <sz val="9"/>
        <color theme="1"/>
        <rFont val="맑은 고딕"/>
        <family val="3"/>
        <charset val="129"/>
      </rPr>
      <t>의해</t>
    </r>
    <r>
      <rPr>
        <sz val="9"/>
        <color theme="1"/>
        <rFont val="Calibri"/>
        <family val="2"/>
      </rPr>
      <t xml:space="preserve"> </t>
    </r>
    <r>
      <rPr>
        <sz val="9"/>
        <color theme="1"/>
        <rFont val="맑은 고딕"/>
        <family val="3"/>
        <charset val="129"/>
      </rPr>
      <t>보호를</t>
    </r>
    <r>
      <rPr>
        <sz val="9"/>
        <color theme="1"/>
        <rFont val="Calibri"/>
        <family val="2"/>
      </rPr>
      <t xml:space="preserve"> </t>
    </r>
    <r>
      <rPr>
        <sz val="9"/>
        <color theme="1"/>
        <rFont val="맑은 고딕"/>
        <family val="3"/>
        <charset val="129"/>
      </rPr>
      <t>받고</t>
    </r>
    <r>
      <rPr>
        <sz val="9"/>
        <color theme="1"/>
        <rFont val="Calibri"/>
        <family val="2"/>
      </rPr>
      <t xml:space="preserve"> </t>
    </r>
    <r>
      <rPr>
        <sz val="9"/>
        <color theme="1"/>
        <rFont val="맑은 고딕"/>
        <family val="3"/>
        <charset val="129"/>
      </rPr>
      <t>있으며</t>
    </r>
    <r>
      <rPr>
        <sz val="9"/>
        <color theme="1"/>
        <rFont val="Calibri"/>
        <family val="2"/>
      </rPr>
      <t xml:space="preserve">, </t>
    </r>
    <r>
      <rPr>
        <sz val="9"/>
        <color theme="1"/>
        <rFont val="맑은 고딕"/>
        <family val="3"/>
        <charset val="129"/>
      </rPr>
      <t>본</t>
    </r>
    <r>
      <rPr>
        <sz val="9"/>
        <color theme="1"/>
        <rFont val="Calibri"/>
        <family val="2"/>
      </rPr>
      <t xml:space="preserve"> “</t>
    </r>
    <r>
      <rPr>
        <sz val="9"/>
        <color theme="1"/>
        <rFont val="맑은 고딕"/>
        <family val="3"/>
        <charset val="129"/>
      </rPr>
      <t>소프트웨어＂를</t>
    </r>
    <r>
      <rPr>
        <sz val="9"/>
        <color theme="1"/>
        <rFont val="Calibri"/>
        <family val="2"/>
      </rPr>
      <t xml:space="preserve"> </t>
    </r>
    <r>
      <rPr>
        <sz val="9"/>
        <color theme="1"/>
        <rFont val="맑은 고딕"/>
        <family val="3"/>
        <charset val="129"/>
      </rPr>
      <t>개작하거나</t>
    </r>
    <r>
      <rPr>
        <sz val="9"/>
        <color theme="1"/>
        <rFont val="Calibri"/>
        <family val="2"/>
      </rPr>
      <t xml:space="preserve"> </t>
    </r>
    <r>
      <rPr>
        <sz val="9"/>
        <color theme="1"/>
        <rFont val="맑은 고딕"/>
        <family val="3"/>
        <charset val="129"/>
      </rPr>
      <t>리버스</t>
    </r>
    <r>
      <rPr>
        <sz val="9"/>
        <color theme="1"/>
        <rFont val="Calibri"/>
        <family val="2"/>
      </rPr>
      <t xml:space="preserve"> </t>
    </r>
    <r>
      <rPr>
        <sz val="9"/>
        <color theme="1"/>
        <rFont val="맑은 고딕"/>
        <family val="3"/>
        <charset val="129"/>
      </rPr>
      <t>엔지니어링</t>
    </r>
    <r>
      <rPr>
        <sz val="9"/>
        <color theme="1"/>
        <rFont val="Calibri"/>
        <family val="2"/>
      </rPr>
      <t xml:space="preserve">, </t>
    </r>
    <r>
      <rPr>
        <sz val="9"/>
        <color theme="1"/>
        <rFont val="맑은 고딕"/>
        <family val="3"/>
        <charset val="129"/>
      </rPr>
      <t>디컴파일</t>
    </r>
    <r>
      <rPr>
        <sz val="9"/>
        <color theme="1"/>
        <rFont val="Calibri"/>
        <family val="2"/>
      </rPr>
      <t xml:space="preserve">, </t>
    </r>
    <r>
      <rPr>
        <sz val="9"/>
        <color theme="1"/>
        <rFont val="맑은 고딕"/>
        <family val="3"/>
        <charset val="129"/>
      </rPr>
      <t>디스어셈블</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소프트웨어의</t>
    </r>
    <r>
      <rPr>
        <sz val="9"/>
        <color theme="1"/>
        <rFont val="Calibri"/>
        <family val="2"/>
      </rPr>
      <t xml:space="preserve"> </t>
    </r>
    <r>
      <rPr>
        <sz val="9"/>
        <color theme="1"/>
        <rFont val="맑은 고딕"/>
        <family val="3"/>
        <charset val="129"/>
      </rPr>
      <t>일부분으로</t>
    </r>
    <r>
      <rPr>
        <sz val="9"/>
        <color theme="1"/>
        <rFont val="Calibri"/>
        <family val="2"/>
      </rPr>
      <t xml:space="preserve"> </t>
    </r>
    <r>
      <rPr>
        <sz val="9"/>
        <color theme="1"/>
        <rFont val="맑은 고딕"/>
        <family val="3"/>
        <charset val="129"/>
      </rPr>
      <t>포함하여</t>
    </r>
    <r>
      <rPr>
        <sz val="9"/>
        <color theme="1"/>
        <rFont val="Calibri"/>
        <family val="2"/>
      </rPr>
      <t xml:space="preserve"> </t>
    </r>
    <r>
      <rPr>
        <sz val="9"/>
        <color theme="1"/>
        <rFont val="맑은 고딕"/>
        <family val="3"/>
        <charset val="129"/>
      </rPr>
      <t>제작</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</si>
  <si>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오류의</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.\n\n1. Schedule </t>
    </r>
    <r>
      <rPr>
        <sz val="9"/>
        <color theme="1"/>
        <rFont val="맑은 고딕"/>
        <family val="3"/>
        <charset val="129"/>
      </rPr>
      <t>시트에</t>
    </r>
    <r>
      <rPr>
        <sz val="9"/>
        <color theme="1"/>
        <rFont val="Calibri"/>
        <family val="2"/>
      </rPr>
      <t xml:space="preserve"> </t>
    </r>
    <r>
      <rPr>
        <sz val="9"/>
        <color theme="1"/>
        <rFont val="맑은 고딕"/>
        <family val="3"/>
        <charset val="129"/>
      </rPr>
      <t>잘못된</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입력되었습니다</t>
    </r>
    <r>
      <rPr>
        <sz val="9"/>
        <color theme="1"/>
        <rFont val="Calibri"/>
        <family val="2"/>
      </rPr>
      <t>(</t>
    </r>
    <r>
      <rPr>
        <sz val="9"/>
        <color theme="1"/>
        <rFont val="맑은 고딕"/>
        <family val="3"/>
        <charset val="129"/>
      </rPr>
      <t>예</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제외한</t>
    </r>
    <r>
      <rPr>
        <sz val="9"/>
        <color theme="1"/>
        <rFont val="Calibri"/>
        <family val="2"/>
      </rPr>
      <t xml:space="preserve"> </t>
    </r>
    <r>
      <rPr>
        <sz val="9"/>
        <color theme="1"/>
        <rFont val="맑은 고딕"/>
        <family val="3"/>
        <charset val="129"/>
      </rPr>
      <t>곳에</t>
    </r>
    <r>
      <rPr>
        <sz val="9"/>
        <color theme="1"/>
        <rFont val="Calibri"/>
        <family val="2"/>
      </rPr>
      <t xml:space="preserve"> </t>
    </r>
    <r>
      <rPr>
        <sz val="9"/>
        <color theme="1"/>
        <rFont val="맑은 고딕"/>
        <family val="3"/>
        <charset val="129"/>
      </rPr>
      <t>등호</t>
    </r>
    <r>
      <rPr>
        <sz val="9"/>
        <color theme="1"/>
        <rFont val="Calibri"/>
        <family val="2"/>
      </rPr>
      <t>(=)</t>
    </r>
    <r>
      <rPr>
        <sz val="9"/>
        <color theme="1"/>
        <rFont val="맑은 고딕"/>
        <family val="3"/>
        <charset val="129"/>
      </rPr>
      <t>로</t>
    </r>
    <r>
      <rPr>
        <sz val="9"/>
        <color theme="1"/>
        <rFont val="Calibri"/>
        <family val="2"/>
      </rPr>
      <t xml:space="preserve"> </t>
    </r>
    <r>
      <rPr>
        <sz val="9"/>
        <color theme="1"/>
        <rFont val="맑은 고딕"/>
        <family val="3"/>
        <charset val="129"/>
      </rPr>
      <t>시작하는</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입력됨</t>
    </r>
    <r>
      <rPr>
        <sz val="9"/>
        <color theme="1"/>
        <rFont val="Calibri"/>
        <family val="2"/>
      </rPr>
      <t xml:space="preserve">).\n\n2. {1} </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</si>
  <si>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code:{2}\n\n</t>
    </r>
    <r>
      <rPr>
        <sz val="9"/>
        <color theme="1"/>
        <rFont val="맑은 고딕"/>
        <family val="3"/>
        <charset val="129"/>
      </rPr>
      <t>이</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파일이</t>
    </r>
    <r>
      <rPr>
        <sz val="9"/>
        <color theme="1"/>
        <rFont val="Calibri"/>
        <family val="2"/>
      </rPr>
      <t xml:space="preserve"> Microsoft OneDrive </t>
    </r>
    <r>
      <rPr>
        <sz val="9"/>
        <color theme="1"/>
        <rFont val="맑은 고딕"/>
        <family val="3"/>
        <charset val="129"/>
      </rPr>
      <t>등</t>
    </r>
    <r>
      <rPr>
        <sz val="9"/>
        <color theme="1"/>
        <rFont val="Calibri"/>
        <family val="2"/>
      </rPr>
      <t xml:space="preserve"> </t>
    </r>
    <r>
      <rPr>
        <sz val="9"/>
        <color theme="1"/>
        <rFont val="맑은 고딕"/>
        <family val="3"/>
        <charset val="129"/>
      </rPr>
      <t>클라우드</t>
    </r>
    <r>
      <rPr>
        <sz val="9"/>
        <color theme="1"/>
        <rFont val="Calibri"/>
        <family val="2"/>
      </rPr>
      <t xml:space="preserve"> </t>
    </r>
    <r>
      <rPr>
        <sz val="9"/>
        <color theme="1"/>
        <rFont val="맑은 고딕"/>
        <family val="3"/>
        <charset val="129"/>
      </rPr>
      <t>저장소에</t>
    </r>
    <r>
      <rPr>
        <sz val="9"/>
        <color theme="1"/>
        <rFont val="Calibri"/>
        <family val="2"/>
      </rPr>
      <t xml:space="preserve"> </t>
    </r>
    <r>
      <rPr>
        <sz val="9"/>
        <color theme="1"/>
        <rFont val="맑은 고딕"/>
        <family val="3"/>
        <charset val="129"/>
      </rPr>
      <t>저장되어</t>
    </r>
    <r>
      <rPr>
        <sz val="9"/>
        <color theme="1"/>
        <rFont val="Calibri"/>
        <family val="2"/>
      </rPr>
      <t xml:space="preserve"> </t>
    </r>
    <r>
      <rPr>
        <sz val="9"/>
        <color theme="1"/>
        <rFont val="맑은 고딕"/>
        <family val="3"/>
        <charset val="129"/>
      </rPr>
      <t>있다면</t>
    </r>
    <r>
      <rPr>
        <sz val="9"/>
        <color theme="1"/>
        <rFont val="Calibri"/>
        <family val="2"/>
      </rPr>
      <t xml:space="preserve"> PC</t>
    </r>
    <r>
      <rPr>
        <sz val="9"/>
        <color theme="1"/>
        <rFont val="맑은 고딕"/>
        <family val="3"/>
        <charset val="129"/>
      </rPr>
      <t>의</t>
    </r>
    <r>
      <rPr>
        <sz val="9"/>
        <color theme="1"/>
        <rFont val="Calibri"/>
        <family val="2"/>
      </rPr>
      <t xml:space="preserve"> </t>
    </r>
    <r>
      <rPr>
        <sz val="9"/>
        <color theme="1"/>
        <rFont val="맑은 고딕"/>
        <family val="3"/>
        <charset val="129"/>
      </rPr>
      <t>로컬드라이브로</t>
    </r>
    <r>
      <rPr>
        <sz val="9"/>
        <color theme="1"/>
        <rFont val="Calibri"/>
        <family val="2"/>
      </rPr>
      <t xml:space="preserve"> </t>
    </r>
    <r>
      <rPr>
        <sz val="9"/>
        <color theme="1"/>
        <rFont val="맑은 고딕"/>
        <family val="3"/>
        <charset val="129"/>
      </rPr>
      <t>옮겨서</t>
    </r>
    <r>
      <rPr>
        <sz val="9"/>
        <color theme="1"/>
        <rFont val="Calibri"/>
        <family val="2"/>
      </rPr>
      <t xml:space="preserve"> </t>
    </r>
    <r>
      <rPr>
        <sz val="9"/>
        <color theme="1"/>
        <rFont val="맑은 고딕"/>
        <family val="3"/>
        <charset val="129"/>
      </rPr>
      <t>사용하세요</t>
    </r>
    <r>
      <rPr>
        <sz val="9"/>
        <color theme="1"/>
        <rFont val="Calibri"/>
        <family val="2"/>
      </rPr>
      <t>.</t>
    </r>
    <phoneticPr fontId="1" type="noConversion"/>
  </si>
  <si>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.\n\n{1}\nError code:{2}</t>
    </r>
    <phoneticPr fontId="1" type="noConversion"/>
  </si>
  <si>
    <r>
      <t xml:space="preserve"> Source</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Target</t>
    </r>
    <r>
      <rPr>
        <sz val="9"/>
        <color theme="1"/>
        <rFont val="맑은 고딕"/>
        <family val="3"/>
        <charset val="129"/>
      </rPr>
      <t>필드</t>
    </r>
    <r>
      <rPr>
        <sz val="9"/>
        <color theme="1"/>
        <rFont val="Calibri"/>
        <family val="2"/>
      </rPr>
      <t xml:space="preserve"> </t>
    </r>
    <r>
      <rPr>
        <sz val="9"/>
        <color theme="1"/>
        <rFont val="맑은 고딕"/>
        <family val="3"/>
        <charset val="129"/>
      </rPr>
      <t>명</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</si>
  <si>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값</t>
    </r>
    <r>
      <rPr>
        <sz val="9"/>
        <color theme="1"/>
        <rFont val="Calibri"/>
        <family val="2"/>
      </rPr>
      <t xml:space="preserve"> </t>
    </r>
    <r>
      <rPr>
        <sz val="9"/>
        <color theme="1"/>
        <rFont val="맑은 고딕"/>
        <family val="3"/>
        <charset val="129"/>
      </rPr>
      <t>예시</t>
    </r>
  </si>
  <si>
    <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명</t>
    </r>
    <r>
      <rPr>
        <sz val="9"/>
        <color theme="1"/>
        <rFont val="Calibri"/>
        <family val="2"/>
      </rPr>
      <t xml:space="preserve">                </t>
    </r>
    <r>
      <rPr>
        <sz val="9"/>
        <color theme="1"/>
        <rFont val="맑은 고딕"/>
        <family val="3"/>
        <charset val="129"/>
      </rPr>
      <t>필드</t>
    </r>
    <r>
      <rPr>
        <sz val="9"/>
        <color theme="1"/>
        <rFont val="Calibri"/>
        <family val="2"/>
      </rPr>
      <t xml:space="preserve"> </t>
    </r>
    <r>
      <rPr>
        <sz val="9"/>
        <color theme="1"/>
        <rFont val="맑은 고딕"/>
        <family val="3"/>
        <charset val="129"/>
      </rPr>
      <t>값</t>
    </r>
  </si>
  <si>
    <r>
      <t xml:space="preserve"> Mapping</t>
    </r>
    <r>
      <rPr>
        <sz val="9"/>
        <color theme="1"/>
        <rFont val="맑은 고딕"/>
        <family val="3"/>
        <charset val="129"/>
      </rPr>
      <t>된</t>
    </r>
    <r>
      <rPr>
        <sz val="9"/>
        <color theme="1"/>
        <rFont val="Calibri"/>
        <family val="2"/>
      </rPr>
      <t xml:space="preserve"> </t>
    </r>
    <r>
      <rPr>
        <sz val="9"/>
        <color theme="1"/>
        <rFont val="맑은 고딕"/>
        <family val="3"/>
        <charset val="129"/>
      </rPr>
      <t>상태</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</si>
  <si>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휴무일</t>
    </r>
    <r>
      <rPr>
        <sz val="9"/>
        <color theme="1"/>
        <rFont val="Calibri"/>
        <family val="2"/>
      </rPr>
      <t xml:space="preserve"> Calendar </t>
    </r>
    <r>
      <rPr>
        <sz val="9"/>
        <color theme="1"/>
        <rFont val="맑은 고딕"/>
        <family val="3"/>
        <charset val="129"/>
      </rPr>
      <t>설정</t>
    </r>
  </si>
  <si>
    <r>
      <rPr>
        <sz val="9"/>
        <color theme="1"/>
        <rFont val="맑은 고딕"/>
        <family val="3"/>
        <charset val="129"/>
      </rPr>
      <t>실적진척율은</t>
    </r>
    <r>
      <rPr>
        <sz val="9"/>
        <color theme="1"/>
        <rFont val="Calibri"/>
        <family val="2"/>
      </rPr>
      <t xml:space="preserve"> 0~100% </t>
    </r>
    <r>
      <rPr>
        <sz val="9"/>
        <color theme="1"/>
        <rFont val="맑은 고딕"/>
        <family val="3"/>
        <charset val="129"/>
      </rPr>
      <t>범위만</t>
    </r>
    <r>
      <rPr>
        <sz val="9"/>
        <color theme="1"/>
        <rFont val="Calibri"/>
        <family val="2"/>
      </rPr>
      <t xml:space="preserve"> </t>
    </r>
    <r>
      <rPr>
        <sz val="9"/>
        <color theme="1"/>
        <rFont val="맑은 고딕"/>
        <family val="3"/>
        <charset val="129"/>
      </rPr>
      <t>입력가능합니다</t>
    </r>
    <r>
      <rPr>
        <sz val="9"/>
        <color theme="1"/>
        <rFont val="Calibri"/>
        <family val="2"/>
      </rPr>
      <t>.</t>
    </r>
  </si>
  <si>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 xml:space="preserve">. </t>
    </r>
    <r>
      <rPr>
        <sz val="9"/>
        <color theme="1"/>
        <rFont val="맑은 고딕"/>
        <family val="3"/>
        <charset val="129"/>
      </rPr>
      <t>개요수준대신</t>
    </r>
    <r>
      <rPr>
        <sz val="9"/>
        <color theme="1"/>
        <rFont val="Calibri"/>
        <family val="2"/>
      </rPr>
      <t xml:space="preserve"> WBS</t>
    </r>
    <r>
      <rPr>
        <sz val="9"/>
        <color theme="1"/>
        <rFont val="맑은 고딕"/>
        <family val="3"/>
        <charset val="129"/>
      </rPr>
      <t>필드</t>
    </r>
    <r>
      <rPr>
        <sz val="9"/>
        <color theme="1"/>
        <rFont val="Calibri"/>
        <family val="2"/>
      </rPr>
      <t xml:space="preserve">(1.3.2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t>
    </r>
  </si>
  <si>
    <r>
      <t xml:space="preserve">WBS(Work Breakdown Structure) </t>
    </r>
    <r>
      <rPr>
        <sz val="9"/>
        <color theme="1"/>
        <rFont val="맑은 고딕"/>
        <family val="3"/>
        <charset val="129"/>
      </rPr>
      <t>필드입니다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1.3.2 </t>
    </r>
    <r>
      <rPr>
        <sz val="9"/>
        <color theme="1"/>
        <rFont val="맑은 고딕"/>
        <family val="3"/>
        <charset val="129"/>
      </rPr>
      <t>등의</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표시됩니다</t>
    </r>
    <r>
      <rPr>
        <sz val="9"/>
        <color theme="1"/>
        <rFont val="Calibri"/>
        <family val="2"/>
      </rPr>
      <t>. WBS</t>
    </r>
    <r>
      <rPr>
        <sz val="9"/>
        <color theme="1"/>
        <rFont val="맑은 고딕"/>
        <family val="3"/>
        <charset val="129"/>
      </rPr>
      <t>대신</t>
    </r>
    <r>
      <rPr>
        <sz val="9"/>
        <color theme="1"/>
        <rFont val="Calibri"/>
        <family val="2"/>
      </rPr>
      <t xml:space="preserve"> </t>
    </r>
    <r>
      <rPr>
        <sz val="9"/>
        <color theme="1"/>
        <rFont val="맑은 고딕"/>
        <family val="3"/>
        <charset val="129"/>
      </rPr>
      <t>개요수준</t>
    </r>
    <r>
      <rPr>
        <sz val="9"/>
        <color theme="1"/>
        <rFont val="Calibri"/>
        <family val="2"/>
      </rPr>
      <t>(</t>
    </r>
    <r>
      <rPr>
        <sz val="9"/>
        <color theme="1"/>
        <rFont val="맑은 고딕"/>
        <family val="3"/>
        <charset val="129"/>
      </rPr>
      <t>작업</t>
    </r>
    <r>
      <rPr>
        <sz val="9"/>
        <color theme="1"/>
        <rFont val="Calibri"/>
        <family val="2"/>
      </rPr>
      <t>Level)</t>
    </r>
    <r>
      <rPr>
        <sz val="9"/>
        <color theme="1"/>
        <rFont val="맑은 고딕"/>
        <family val="3"/>
        <charset val="129"/>
      </rPr>
      <t>필드를</t>
    </r>
    <r>
      <rPr>
        <sz val="9"/>
        <color theme="1"/>
        <rFont val="Calibri"/>
        <family val="2"/>
      </rPr>
      <t xml:space="preserve"> </t>
    </r>
    <r>
      <rPr>
        <sz val="9"/>
        <color theme="1"/>
        <rFont val="맑은 고딕"/>
        <family val="3"/>
        <charset val="129"/>
      </rPr>
      <t>사용하기도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예를</t>
    </r>
    <r>
      <rPr>
        <sz val="9"/>
        <color theme="1"/>
        <rFont val="Calibri"/>
        <family val="2"/>
      </rPr>
      <t xml:space="preserve"> </t>
    </r>
    <r>
      <rPr>
        <sz val="9"/>
        <color theme="1"/>
        <rFont val="맑은 고딕"/>
        <family val="3"/>
        <charset val="129"/>
      </rPr>
      <t>들어</t>
    </r>
    <r>
      <rPr>
        <sz val="9"/>
        <color theme="1"/>
        <rFont val="Calibri"/>
        <family val="2"/>
      </rPr>
      <t xml:space="preserve"> 2 Level</t>
    </r>
    <r>
      <rPr>
        <sz val="9"/>
        <color theme="1"/>
        <rFont val="맑은 고딕"/>
        <family val="3"/>
        <charset val="129"/>
      </rPr>
      <t>의</t>
    </r>
    <r>
      <rPr>
        <sz val="9"/>
        <color theme="1"/>
        <rFont val="Calibri"/>
        <family val="2"/>
      </rPr>
      <t xml:space="preserve"> </t>
    </r>
    <r>
      <rPr>
        <sz val="9"/>
        <color theme="1"/>
        <rFont val="맑은 고딕"/>
        <family val="3"/>
        <charset val="129"/>
      </rPr>
      <t>작업이면</t>
    </r>
    <r>
      <rPr>
        <sz val="9"/>
        <color theme="1"/>
        <rFont val="Calibri"/>
        <family val="2"/>
      </rPr>
      <t xml:space="preserve"> </t>
    </r>
    <r>
      <rPr>
        <sz val="9"/>
        <color theme="1"/>
        <rFont val="맑은 고딕"/>
        <family val="3"/>
        <charset val="129"/>
      </rPr>
      <t>숫자</t>
    </r>
    <r>
      <rPr>
        <sz val="9"/>
        <color theme="1"/>
        <rFont val="Calibri"/>
        <family val="2"/>
      </rPr>
      <t xml:space="preserve"> 2</t>
    </r>
    <r>
      <rPr>
        <sz val="9"/>
        <color theme="1"/>
        <rFont val="맑은 고딕"/>
        <family val="3"/>
        <charset val="129"/>
      </rPr>
      <t>로</t>
    </r>
    <r>
      <rPr>
        <sz val="9"/>
        <color theme="1"/>
        <rFont val="Calibri"/>
        <family val="2"/>
      </rPr>
      <t xml:space="preserve"> </t>
    </r>
    <r>
      <rPr>
        <sz val="9"/>
        <color theme="1"/>
        <rFont val="맑은 고딕"/>
        <family val="3"/>
        <charset val="129"/>
      </rPr>
      <t>표시됩니다</t>
    </r>
    <r>
      <rPr>
        <sz val="9"/>
        <color theme="1"/>
        <rFont val="Calibri"/>
        <family val="2"/>
      </rPr>
      <t>.</t>
    </r>
  </si>
  <si>
    <r>
      <rPr>
        <sz val="9"/>
        <color theme="1"/>
        <rFont val="맑은 고딕"/>
        <family val="3"/>
        <charset val="129"/>
      </rPr>
      <t>실적진척율</t>
    </r>
  </si>
  <si>
    <r>
      <rPr>
        <sz val="9"/>
        <color theme="1"/>
        <rFont val="맑은 고딕"/>
        <family val="3"/>
        <charset val="129"/>
      </rPr>
      <t>실적</t>
    </r>
    <r>
      <rPr>
        <sz val="9"/>
        <color theme="1"/>
        <rFont val="Calibri"/>
        <family val="2"/>
      </rPr>
      <t xml:space="preserve"> </t>
    </r>
    <r>
      <rPr>
        <sz val="9"/>
        <color theme="1"/>
        <rFont val="맑은 고딕"/>
        <family val="3"/>
        <charset val="129"/>
      </rPr>
      <t>진척율</t>
    </r>
    <r>
      <rPr>
        <sz val="9"/>
        <color theme="1"/>
        <rFont val="Calibri"/>
        <family val="2"/>
      </rPr>
      <t>(B)</t>
    </r>
  </si>
  <si>
    <r>
      <rPr>
        <sz val="9"/>
        <color theme="1"/>
        <rFont val="맑은 고딕"/>
        <family val="3"/>
        <charset val="129"/>
      </rPr>
      <t>실적</t>
    </r>
    <r>
      <rPr>
        <sz val="9"/>
        <color theme="1"/>
        <rFont val="Calibri"/>
        <family val="2"/>
      </rPr>
      <t>(C/A)</t>
    </r>
  </si>
  <si>
    <r>
      <rPr>
        <sz val="9"/>
        <color theme="1"/>
        <rFont val="맑은 고딕"/>
        <family val="3"/>
        <charset val="129"/>
      </rPr>
      <t>실적</t>
    </r>
  </si>
  <si>
    <r>
      <t>(</t>
    </r>
    <r>
      <rPr>
        <sz val="9"/>
        <color theme="1"/>
        <rFont val="맑은 고딕"/>
        <family val="3"/>
        <charset val="129"/>
      </rPr>
      <t>숨겨진</t>
    </r>
    <r>
      <rPr>
        <sz val="9"/>
        <color theme="1"/>
        <rFont val="Calibri"/>
        <family val="2"/>
      </rPr>
      <t xml:space="preserve"> </t>
    </r>
    <r>
      <rPr>
        <sz val="9"/>
        <color theme="1"/>
        <rFont val="맑은 고딕"/>
        <family val="3"/>
        <charset val="129"/>
      </rPr>
      <t>시트</t>
    </r>
    <r>
      <rPr>
        <sz val="9"/>
        <color theme="1"/>
        <rFont val="Calibri"/>
        <family val="2"/>
      </rPr>
      <t xml:space="preserve">) </t>
    </r>
    <r>
      <rPr>
        <sz val="9"/>
        <color theme="1"/>
        <rFont val="맑은 고딕"/>
        <family val="3"/>
        <charset val="129"/>
      </rPr>
      <t>언어별</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들어</t>
    </r>
    <r>
      <rPr>
        <sz val="9"/>
        <color theme="1"/>
        <rFont val="Calibri"/>
        <family val="2"/>
      </rPr>
      <t xml:space="preserve"> </t>
    </r>
    <r>
      <rPr>
        <sz val="9"/>
        <color theme="1"/>
        <rFont val="맑은 고딕"/>
        <family val="3"/>
        <charset val="129"/>
      </rPr>
      <t>있다</t>
    </r>
    <r>
      <rPr>
        <sz val="9"/>
        <color theme="1"/>
        <rFont val="Calibri"/>
        <family val="2"/>
      </rPr>
      <t>.</t>
    </r>
  </si>
  <si>
    <r>
      <t>(</t>
    </r>
    <r>
      <rPr>
        <sz val="9"/>
        <color theme="1"/>
        <rFont val="맑은 고딕"/>
        <family val="3"/>
        <charset val="129"/>
      </rPr>
      <t>담당자미지정</t>
    </r>
    <r>
      <rPr>
        <sz val="9"/>
        <color theme="1"/>
        <rFont val="Calibri"/>
        <family val="2"/>
      </rPr>
      <t>)</t>
    </r>
    <phoneticPr fontId="1" type="noConversion"/>
  </si>
  <si>
    <r>
      <t>* "</t>
    </r>
    <r>
      <rPr>
        <sz val="9"/>
        <color theme="1"/>
        <rFont val="맑은 고딕"/>
        <family val="3"/>
        <charset val="129"/>
      </rPr>
      <t>스케줄업데이트</t>
    </r>
    <r>
      <rPr>
        <sz val="9"/>
        <color theme="1"/>
        <rFont val="Calibri"/>
        <family val="2"/>
      </rPr>
      <t xml:space="preserve">" </t>
    </r>
    <r>
      <rPr>
        <sz val="9"/>
        <color theme="1"/>
        <rFont val="맑은 고딕"/>
        <family val="3"/>
        <charset val="129"/>
      </rPr>
      <t>버튼</t>
    </r>
    <r>
      <rPr>
        <sz val="9"/>
        <color theme="1"/>
        <rFont val="Calibri"/>
        <family val="2"/>
      </rPr>
      <t xml:space="preserve"> </t>
    </r>
    <r>
      <rPr>
        <sz val="9"/>
        <color theme="1"/>
        <rFont val="맑은 고딕"/>
        <family val="3"/>
        <charset val="129"/>
      </rPr>
      <t>클릭</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아래</t>
    </r>
    <r>
      <rPr>
        <sz val="9"/>
        <color theme="1"/>
        <rFont val="Calibri"/>
        <family val="2"/>
      </rPr>
      <t xml:space="preserve"> </t>
    </r>
    <r>
      <rPr>
        <sz val="9"/>
        <color theme="1"/>
        <rFont val="맑은 고딕"/>
        <family val="3"/>
        <charset val="129"/>
      </rPr>
      <t>항목이</t>
    </r>
    <r>
      <rPr>
        <sz val="9"/>
        <color theme="1"/>
        <rFont val="Calibri"/>
        <family val="2"/>
      </rPr>
      <t xml:space="preserve"> </t>
    </r>
    <r>
      <rPr>
        <sz val="9"/>
        <color theme="1"/>
        <rFont val="맑은 고딕"/>
        <family val="3"/>
        <charset val="129"/>
      </rPr>
      <t>자동계산됩니다</t>
    </r>
    <r>
      <rPr>
        <sz val="9"/>
        <color theme="1"/>
        <rFont val="Calibri"/>
        <family val="2"/>
      </rPr>
      <t>.</t>
    </r>
  </si>
  <si>
    <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</si>
  <si>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t xml:space="preserve">*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Excel</t>
    </r>
    <r>
      <rPr>
        <sz val="9"/>
        <color theme="1"/>
        <rFont val="맑은 고딕"/>
        <family val="3"/>
        <charset val="129"/>
      </rPr>
      <t>파일</t>
    </r>
    <r>
      <rPr>
        <sz val="9"/>
        <color theme="1"/>
        <rFont val="Calibri"/>
        <family val="2"/>
      </rPr>
      <t>(1</t>
    </r>
    <r>
      <rPr>
        <sz val="9"/>
        <color theme="1"/>
        <rFont val="맑은 고딕"/>
        <family val="3"/>
        <charset val="129"/>
      </rPr>
      <t>행은</t>
    </r>
    <r>
      <rPr>
        <sz val="9"/>
        <color theme="1"/>
        <rFont val="Calibri"/>
        <family val="2"/>
      </rPr>
      <t xml:space="preserve"> </t>
    </r>
    <r>
      <rPr>
        <sz val="9"/>
        <color theme="1"/>
        <rFont val="맑은 고딕"/>
        <family val="3"/>
        <charset val="129"/>
      </rPr>
      <t>제목</t>
    </r>
    <r>
      <rPr>
        <sz val="9"/>
        <color theme="1"/>
        <rFont val="Calibri"/>
        <family val="2"/>
      </rPr>
      <t>, 2</t>
    </r>
    <r>
      <rPr>
        <sz val="9"/>
        <color theme="1"/>
        <rFont val="맑은 고딕"/>
        <family val="3"/>
        <charset val="129"/>
      </rPr>
      <t>행부터</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파일</t>
    </r>
    <r>
      <rPr>
        <sz val="9"/>
        <color theme="1"/>
        <rFont val="Calibri"/>
        <family val="2"/>
      </rPr>
      <t xml:space="preserve">)\n* </t>
    </r>
    <r>
      <rPr>
        <sz val="9"/>
        <color theme="1"/>
        <rFont val="맑은 고딕"/>
        <family val="3"/>
        <charset val="129"/>
      </rPr>
      <t>자료갯수</t>
    </r>
    <r>
      <rPr>
        <sz val="9"/>
        <color theme="1"/>
        <rFont val="Calibri"/>
        <family val="2"/>
      </rPr>
      <t xml:space="preserve"> </t>
    </r>
    <r>
      <rPr>
        <sz val="9"/>
        <color theme="1"/>
        <rFont val="맑은 고딕"/>
        <family val="3"/>
        <charset val="129"/>
      </rPr>
      <t>제한</t>
    </r>
    <r>
      <rPr>
        <sz val="9"/>
        <color theme="1"/>
        <rFont val="Calibri"/>
        <family val="2"/>
      </rPr>
      <t xml:space="preserve"> </t>
    </r>
    <r>
      <rPr>
        <sz val="9"/>
        <color theme="1"/>
        <rFont val="맑은 고딕"/>
        <family val="3"/>
        <charset val="129"/>
      </rPr>
      <t>없음</t>
    </r>
    <r>
      <rPr>
        <sz val="9"/>
        <color theme="1"/>
        <rFont val="Calibri"/>
        <family val="2"/>
      </rPr>
      <t xml:space="preserve">\n* </t>
    </r>
    <r>
      <rPr>
        <sz val="9"/>
        <color theme="1"/>
        <rFont val="맑은 고딕"/>
        <family val="3"/>
        <charset val="129"/>
      </rPr>
      <t>한번에</t>
    </r>
    <r>
      <rPr>
        <sz val="9"/>
        <color theme="1"/>
        <rFont val="Calibri"/>
        <family val="2"/>
      </rPr>
      <t xml:space="preserve"> </t>
    </r>
    <r>
      <rPr>
        <sz val="9"/>
        <color theme="1"/>
        <rFont val="맑은 고딕"/>
        <family val="3"/>
        <charset val="129"/>
      </rPr>
      <t>한개의</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처리됨</t>
    </r>
  </si>
  <si>
    <r>
      <t xml:space="preserve">* </t>
    </r>
    <r>
      <rPr>
        <sz val="9"/>
        <color theme="1"/>
        <rFont val="맑은 고딕"/>
        <family val="3"/>
        <charset val="129"/>
      </rPr>
      <t>월별로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</si>
  <si>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주별로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진적율을</t>
    </r>
    <r>
      <rPr>
        <sz val="9"/>
        <color theme="1"/>
        <rFont val="Calibri"/>
        <family val="2"/>
      </rPr>
      <t xml:space="preserve"> </t>
    </r>
    <r>
      <rPr>
        <sz val="9"/>
        <color theme="1"/>
        <rFont val="맑은 고딕"/>
        <family val="3"/>
        <charset val="129"/>
      </rPr>
      <t>보여줍니다</t>
    </r>
    <r>
      <rPr>
        <sz val="9"/>
        <color theme="1"/>
        <rFont val="Calibri"/>
        <family val="2"/>
      </rPr>
      <t>.</t>
    </r>
    <phoneticPr fontId="1" type="noConversion"/>
  </si>
  <si>
    <r>
      <t xml:space="preserve">* </t>
    </r>
    <r>
      <rPr>
        <sz val="9"/>
        <color theme="1"/>
        <rFont val="맑은 고딕"/>
        <family val="3"/>
        <charset val="129"/>
      </rPr>
      <t>담당별로</t>
    </r>
    <r>
      <rPr>
        <sz val="9"/>
        <color theme="1"/>
        <rFont val="Calibri"/>
        <family val="2"/>
      </rPr>
      <t xml:space="preserve"> </t>
    </r>
    <r>
      <rPr>
        <sz val="9"/>
        <color theme="1"/>
        <rFont val="맑은 고딕"/>
        <family val="3"/>
        <charset val="129"/>
      </rPr>
      <t>투입된</t>
    </r>
    <r>
      <rPr>
        <sz val="9"/>
        <color theme="1"/>
        <rFont val="Calibri"/>
        <family val="2"/>
      </rPr>
      <t xml:space="preserve"> Task</t>
    </r>
    <r>
      <rPr>
        <sz val="9"/>
        <color theme="1"/>
        <rFont val="맑은 고딕"/>
        <family val="3"/>
        <charset val="129"/>
      </rPr>
      <t>와</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계획작업량</t>
    </r>
    <r>
      <rPr>
        <sz val="9"/>
        <color theme="1"/>
        <rFont val="Calibri"/>
        <family val="2"/>
      </rPr>
      <t xml:space="preserve">, </t>
    </r>
    <r>
      <rPr>
        <sz val="9"/>
        <color theme="1"/>
        <rFont val="맑은 고딕"/>
        <family val="3"/>
        <charset val="129"/>
      </rPr>
      <t>진척작업을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보여주고</t>
    </r>
    <r>
      <rPr>
        <sz val="9"/>
        <color theme="1"/>
        <rFont val="Calibri"/>
        <family val="2"/>
      </rPr>
      <t xml:space="preserve">, </t>
    </r>
    <r>
      <rPr>
        <sz val="9"/>
        <color theme="1"/>
        <rFont val="맑은 고딕"/>
        <family val="3"/>
        <charset val="129"/>
      </rPr>
      <t>계획</t>
    </r>
    <r>
      <rPr>
        <sz val="9"/>
        <color theme="1"/>
        <rFont val="Calibri"/>
        <family val="2"/>
      </rPr>
      <t>/</t>
    </r>
    <r>
      <rPr>
        <sz val="9"/>
        <color theme="1"/>
        <rFont val="맑은 고딕"/>
        <family val="3"/>
        <charset val="129"/>
      </rPr>
      <t>실적</t>
    </r>
    <r>
      <rPr>
        <sz val="9"/>
        <color theme="1"/>
        <rFont val="Calibri"/>
        <family val="2"/>
      </rPr>
      <t xml:space="preserve"> </t>
    </r>
    <r>
      <rPr>
        <sz val="9"/>
        <color theme="1"/>
        <rFont val="맑은 고딕"/>
        <family val="3"/>
        <charset val="129"/>
      </rPr>
      <t>진행율을</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</si>
  <si>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담당별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</si>
  <si>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월별</t>
    </r>
    <r>
      <rPr>
        <sz val="9"/>
        <color theme="1"/>
        <rFont val="Calibri"/>
        <family val="2"/>
      </rPr>
      <t xml:space="preserve"> Workload</t>
    </r>
    <r>
      <rPr>
        <sz val="9"/>
        <color theme="1"/>
        <rFont val="맑은 고딕"/>
        <family val="3"/>
        <charset val="129"/>
      </rPr>
      <t>를</t>
    </r>
    <r>
      <rPr>
        <sz val="9"/>
        <color theme="1"/>
        <rFont val="Calibri"/>
        <family val="2"/>
      </rPr>
      <t xml:space="preserve"> </t>
    </r>
    <r>
      <rPr>
        <sz val="9"/>
        <color theme="1"/>
        <rFont val="맑은 고딕"/>
        <family val="3"/>
        <charset val="129"/>
      </rPr>
      <t>보여줍니다</t>
    </r>
    <r>
      <rPr>
        <sz val="9"/>
        <color theme="1"/>
        <rFont val="Calibri"/>
        <family val="2"/>
      </rPr>
      <t>.</t>
    </r>
  </si>
  <si>
    <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작업량과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보여줍니다</t>
    </r>
    <r>
      <rPr>
        <sz val="9"/>
        <color theme="1"/>
        <rFont val="Calibri"/>
        <family val="2"/>
      </rPr>
      <t>.</t>
    </r>
  </si>
  <si>
    <r>
      <t>*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</si>
  <si>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갱신됨</t>
    </r>
    <phoneticPr fontId="1" type="noConversion"/>
  </si>
  <si>
    <r>
      <t>* "</t>
    </r>
    <r>
      <rPr>
        <sz val="9"/>
        <color theme="1"/>
        <rFont val="맑은 고딕"/>
        <family val="3"/>
        <charset val="129"/>
      </rPr>
      <t>담당별진행율</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</si>
  <si>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담당별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</si>
  <si>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 "Workload(</t>
    </r>
    <r>
      <rPr>
        <sz val="9"/>
        <color theme="1"/>
        <rFont val="맑은 고딕"/>
        <family val="3"/>
        <charset val="129"/>
      </rPr>
      <t>주별</t>
    </r>
    <r>
      <rPr>
        <sz val="9"/>
        <color theme="1"/>
        <rFont val="Calibri"/>
        <family val="2"/>
      </rPr>
      <t xml:space="preserve">)" </t>
    </r>
    <r>
      <rPr>
        <sz val="9"/>
        <color theme="1"/>
        <rFont val="맑은 고딕"/>
        <family val="3"/>
        <charset val="129"/>
      </rPr>
      <t>또는</t>
    </r>
    <r>
      <rPr>
        <sz val="9"/>
        <color theme="1"/>
        <rFont val="Calibri"/>
        <family val="2"/>
      </rPr>
      <t xml:space="preserve"> "Workload(</t>
    </r>
    <r>
      <rPr>
        <sz val="9"/>
        <color theme="1"/>
        <rFont val="맑은 고딕"/>
        <family val="3"/>
        <charset val="129"/>
      </rPr>
      <t>월별</t>
    </r>
    <r>
      <rPr>
        <sz val="9"/>
        <color theme="1"/>
        <rFont val="Calibri"/>
        <family val="2"/>
      </rPr>
      <t xml:space="preserve">)" </t>
    </r>
    <r>
      <rPr>
        <sz val="9"/>
        <color theme="1"/>
        <rFont val="맑은 고딕"/>
        <family val="3"/>
        <charset val="129"/>
      </rPr>
      <t>메뉴를</t>
    </r>
    <r>
      <rPr>
        <sz val="9"/>
        <color theme="1"/>
        <rFont val="Calibri"/>
        <family val="2"/>
      </rPr>
      <t xml:space="preserve"> </t>
    </r>
    <r>
      <rPr>
        <sz val="9"/>
        <color theme="1"/>
        <rFont val="맑은 고딕"/>
        <family val="3"/>
        <charset val="129"/>
      </rPr>
      <t>클릭해야</t>
    </r>
    <r>
      <rPr>
        <sz val="9"/>
        <color theme="1"/>
        <rFont val="Calibri"/>
        <family val="2"/>
      </rPr>
      <t xml:space="preserve"> </t>
    </r>
    <r>
      <rPr>
        <sz val="9"/>
        <color theme="1"/>
        <rFont val="맑은 고딕"/>
        <family val="3"/>
        <charset val="129"/>
      </rPr>
      <t>내용이</t>
    </r>
    <r>
      <rPr>
        <sz val="9"/>
        <color theme="1"/>
        <rFont val="Calibri"/>
        <family val="2"/>
      </rPr>
      <t xml:space="preserve"> </t>
    </r>
    <r>
      <rPr>
        <sz val="9"/>
        <color theme="1"/>
        <rFont val="맑은 고딕"/>
        <family val="3"/>
        <charset val="129"/>
      </rPr>
      <t>갱신됩니다</t>
    </r>
    <r>
      <rPr>
        <sz val="9"/>
        <color theme="1"/>
        <rFont val="Calibri"/>
        <family val="2"/>
      </rPr>
      <t>.</t>
    </r>
  </si>
  <si>
    <r>
      <t>Outlook</t>
    </r>
    <r>
      <rPr>
        <sz val="9"/>
        <color theme="1"/>
        <rFont val="맑은 고딕"/>
        <family val="3"/>
        <charset val="129"/>
      </rPr>
      <t>일정이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</si>
  <si>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Outlook</t>
    </r>
    <r>
      <rPr>
        <sz val="9"/>
        <color theme="1"/>
        <rFont val="맑은 고딕"/>
        <family val="3"/>
        <charset val="129"/>
      </rPr>
      <t>작업이</t>
    </r>
    <r>
      <rPr>
        <sz val="9"/>
        <color theme="1"/>
        <rFont val="Calibri"/>
        <family val="2"/>
      </rPr>
      <t xml:space="preserve"> {}</t>
    </r>
    <r>
      <rPr>
        <sz val="9"/>
        <color theme="1"/>
        <rFont val="맑은 고딕"/>
        <family val="3"/>
        <charset val="129"/>
      </rPr>
      <t>건</t>
    </r>
    <r>
      <rPr>
        <sz val="9"/>
        <color theme="1"/>
        <rFont val="Calibri"/>
        <family val="2"/>
      </rPr>
      <t xml:space="preserve"> </t>
    </r>
    <r>
      <rPr>
        <sz val="9"/>
        <color theme="1"/>
        <rFont val="맑은 고딕"/>
        <family val="3"/>
        <charset val="129"/>
      </rPr>
      <t>등록되었습니다</t>
    </r>
    <r>
      <rPr>
        <sz val="9"/>
        <color theme="1"/>
        <rFont val="Calibri"/>
        <family val="2"/>
      </rPr>
      <t>.</t>
    </r>
  </si>
  <si>
    <r>
      <t xml:space="preserve">{} </t>
    </r>
    <r>
      <rPr>
        <sz val="9"/>
        <color theme="1"/>
        <rFont val="맑은 고딕"/>
        <family val="3"/>
        <charset val="129"/>
      </rPr>
      <t>파일이</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</si>
  <si>
    <r>
      <t xml:space="preserve">&lt;&lt; </t>
    </r>
    <r>
      <rPr>
        <sz val="9"/>
        <color theme="1"/>
        <rFont val="맑은 고딕"/>
        <family val="3"/>
        <charset val="129"/>
      </rPr>
      <t>제거</t>
    </r>
  </si>
  <si>
    <r>
      <t>&lt;&lt; Mapping</t>
    </r>
    <r>
      <rPr>
        <sz val="9"/>
        <color theme="1"/>
        <rFont val="맑은 고딕"/>
        <family val="3"/>
        <charset val="129"/>
      </rPr>
      <t>취소</t>
    </r>
  </si>
  <si>
    <r>
      <rPr>
        <sz val="9"/>
        <color theme="1"/>
        <rFont val="맑은 고딕"/>
        <family val="3"/>
        <charset val="129"/>
      </rPr>
      <t>누적</t>
    </r>
    <r>
      <rPr>
        <sz val="9"/>
        <color theme="1"/>
        <rFont val="Calibri"/>
        <family val="2"/>
      </rPr>
      <t>\nMan-Day</t>
    </r>
  </si>
  <si>
    <r>
      <rPr>
        <sz val="9"/>
        <color theme="1"/>
        <rFont val="맑은 고딕"/>
        <family val="3"/>
        <charset val="129"/>
      </rPr>
      <t>실적</t>
    </r>
    <phoneticPr fontId="1" type="noConversion"/>
  </si>
  <si>
    <r>
      <rPr>
        <sz val="9"/>
        <color theme="1"/>
        <rFont val="맑은 고딕"/>
        <family val="3"/>
        <charset val="129"/>
      </rPr>
      <t>실적진척율에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</si>
  <si>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현재날짜까지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실적진척율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</si>
  <si>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실제</t>
    </r>
    <r>
      <rPr>
        <sz val="9"/>
        <color theme="1"/>
        <rFont val="Calibri"/>
        <family val="2"/>
      </rPr>
      <t xml:space="preserve"> </t>
    </r>
    <r>
      <rPr>
        <sz val="9"/>
        <color theme="1"/>
        <rFont val="맑은 고딕"/>
        <family val="3"/>
        <charset val="129"/>
      </rPr>
      <t>누적</t>
    </r>
    <r>
      <rPr>
        <sz val="9"/>
        <color theme="1"/>
        <rFont val="Calibri"/>
        <family val="2"/>
      </rPr>
      <t>\nMan-Day</t>
    </r>
    <phoneticPr fontId="1" type="noConversion"/>
  </si>
  <si>
    <r>
      <rPr>
        <sz val="9"/>
        <color theme="1"/>
        <rFont val="맑은 고딕"/>
        <family val="3"/>
        <charset val="129"/>
      </rPr>
      <t>실제완료일</t>
    </r>
  </si>
  <si>
    <r>
      <rPr>
        <sz val="9"/>
        <color theme="1"/>
        <rFont val="맑은 고딕"/>
        <family val="3"/>
        <charset val="129"/>
      </rPr>
      <t>실제완료일자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</si>
  <si>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실제종료일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</si>
  <si>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</si>
  <si>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</si>
  <si>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t>
    </r>
    <r>
      <rPr>
        <sz val="9"/>
        <color theme="1"/>
        <rFont val="Calibri"/>
        <family val="2"/>
      </rPr>
      <t xml:space="preserve"> Man-Day</t>
    </r>
    <phoneticPr fontId="1" type="noConversion"/>
  </si>
  <si>
    <r>
      <rPr>
        <sz val="9"/>
        <color theme="1"/>
        <rFont val="맑은 고딕"/>
        <family val="3"/>
        <charset val="129"/>
      </rPr>
      <t>실제진척율</t>
    </r>
    <phoneticPr fontId="1" type="noConversion"/>
  </si>
  <si>
    <r>
      <rPr>
        <sz val="9"/>
        <color theme="1"/>
        <rFont val="맑은 고딕"/>
        <family val="3"/>
        <charset val="129"/>
      </rPr>
      <t>실제진척율</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진척된</t>
    </r>
    <r>
      <rPr>
        <sz val="9"/>
        <color theme="1"/>
        <rFont val="Calibri"/>
        <family val="2"/>
      </rPr>
      <t xml:space="preserve"> </t>
    </r>
    <r>
      <rPr>
        <sz val="9"/>
        <color theme="1"/>
        <rFont val="맑은 고딕"/>
        <family val="3"/>
        <charset val="129"/>
      </rPr>
      <t>작업량을</t>
    </r>
    <r>
      <rPr>
        <sz val="9"/>
        <color theme="1"/>
        <rFont val="Calibri"/>
        <family val="2"/>
      </rPr>
      <t xml:space="preserve"> %</t>
    </r>
    <r>
      <rPr>
        <sz val="9"/>
        <color theme="1"/>
        <rFont val="맑은 고딕"/>
        <family val="3"/>
        <charset val="129"/>
      </rPr>
      <t>로</t>
    </r>
    <r>
      <rPr>
        <sz val="9"/>
        <color theme="1"/>
        <rFont val="Calibri"/>
        <family val="2"/>
      </rPr>
      <t xml:space="preserve"> </t>
    </r>
    <r>
      <rPr>
        <sz val="9"/>
        <color theme="1"/>
        <rFont val="맑은 고딕"/>
        <family val="3"/>
        <charset val="129"/>
      </rPr>
      <t>표현합니다</t>
    </r>
    <r>
      <rPr>
        <sz val="9"/>
        <color theme="1"/>
        <rFont val="Calibri"/>
        <family val="2"/>
      </rPr>
      <t>.</t>
    </r>
  </si>
  <si>
    <r>
      <rPr>
        <sz val="9"/>
        <color theme="1"/>
        <rFont val="맑은 고딕"/>
        <family val="3"/>
        <charset val="129"/>
      </rPr>
      <t>실제시작일</t>
    </r>
  </si>
  <si>
    <r>
      <rPr>
        <sz val="9"/>
        <color theme="1"/>
        <rFont val="맑은 고딕"/>
        <family val="3"/>
        <charset val="129"/>
      </rPr>
      <t>실제시작일자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</si>
  <si>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</si>
  <si>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실제시작일의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</si>
  <si>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실제시작일자에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</si>
  <si>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실제총기간</t>
    </r>
  </si>
  <si>
    <r>
      <rPr>
        <sz val="9"/>
        <color theme="1"/>
        <rFont val="맑은 고딕"/>
        <family val="3"/>
        <charset val="129"/>
      </rPr>
      <t>실제총작업량</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</si>
  <si>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\nMan-day</t>
    </r>
  </si>
  <si>
    <r>
      <rPr>
        <sz val="9"/>
        <color theme="1"/>
        <rFont val="맑은 고딕"/>
        <family val="3"/>
        <charset val="129"/>
      </rPr>
      <t>실제</t>
    </r>
    <r>
      <rPr>
        <sz val="9"/>
        <color theme="1"/>
        <rFont val="Calibri"/>
        <family val="2"/>
      </rPr>
      <t xml:space="preserve"> </t>
    </r>
    <r>
      <rPr>
        <sz val="9"/>
        <color theme="1"/>
        <rFont val="맑은 고딕"/>
        <family val="3"/>
        <charset val="129"/>
      </rPr>
      <t>총기간</t>
    </r>
    <r>
      <rPr>
        <sz val="9"/>
        <color theme="1"/>
        <rFont val="Calibri"/>
        <family val="2"/>
      </rPr>
      <t>__(</t>
    </r>
    <r>
      <rPr>
        <sz val="9"/>
        <color theme="1"/>
        <rFont val="맑은 고딕"/>
        <family val="3"/>
        <charset val="129"/>
      </rPr>
      <t>전체</t>
    </r>
    <r>
      <rPr>
        <sz val="9"/>
        <color theme="1"/>
        <rFont val="Calibri"/>
        <family val="2"/>
      </rPr>
      <t xml:space="preserve"> </t>
    </r>
    <r>
      <rPr>
        <sz val="9"/>
        <color theme="1"/>
        <rFont val="맑은 고딕"/>
        <family val="3"/>
        <charset val="129"/>
      </rPr>
      <t>기간</t>
    </r>
    <r>
      <rPr>
        <sz val="9"/>
        <color theme="1"/>
        <rFont val="Calibri"/>
        <family val="2"/>
      </rPr>
      <t>)</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</si>
  <si>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총기간</t>
    </r>
  </si>
  <si>
    <r>
      <rPr>
        <sz val="9"/>
        <color theme="1"/>
        <rFont val="맑은 고딕"/>
        <family val="3"/>
        <charset val="129"/>
      </rPr>
      <t>실제</t>
    </r>
    <r>
      <rPr>
        <sz val="9"/>
        <color theme="1"/>
        <rFont val="Calibri"/>
        <family val="2"/>
      </rPr>
      <t xml:space="preserve"> </t>
    </r>
    <r>
      <rPr>
        <sz val="9"/>
        <color theme="1"/>
        <rFont val="맑은 고딕"/>
        <family val="3"/>
        <charset val="129"/>
      </rPr>
      <t>총작업량</t>
    </r>
    <r>
      <rPr>
        <sz val="9"/>
        <color theme="1"/>
        <rFont val="Calibri"/>
        <family val="2"/>
      </rPr>
      <t>\n(</t>
    </r>
    <r>
      <rPr>
        <sz val="9"/>
        <color theme="1"/>
        <rFont val="맑은 고딕"/>
        <family val="3"/>
        <charset val="129"/>
      </rPr>
      <t>총</t>
    </r>
    <r>
      <rPr>
        <sz val="9"/>
        <color theme="1"/>
        <rFont val="Calibri"/>
        <family val="2"/>
      </rPr>
      <t>ManDay,_x000D_</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phoneticPr fontId="3"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</si>
  <si>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</si>
  <si>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실제작업량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</si>
  <si>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실제작업량</t>
    </r>
    <r>
      <rPr>
        <sz val="9"/>
        <color theme="1"/>
        <rFont val="Calibri"/>
        <family val="2"/>
      </rPr>
      <t>(Man-Day)</t>
    </r>
    <phoneticPr fontId="1" type="noConversion"/>
  </si>
  <si>
    <r>
      <rPr>
        <sz val="9"/>
        <color theme="1"/>
        <rFont val="맑은 고딕"/>
        <family val="3"/>
        <charset val="129"/>
      </rPr>
      <t>실제</t>
    </r>
    <r>
      <rPr>
        <sz val="9"/>
        <color theme="1"/>
        <rFont val="Calibri"/>
        <family val="2"/>
      </rPr>
      <t>__</t>
    </r>
    <r>
      <rPr>
        <sz val="9"/>
        <color theme="1"/>
        <rFont val="맑은 고딕"/>
        <family val="3"/>
        <charset val="129"/>
      </rPr>
      <t>완료일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</si>
  <si>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시작일</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</si>
  <si>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총기간</t>
    </r>
    <phoneticPr fontId="3" type="noConversion"/>
  </si>
  <si>
    <r>
      <rPr>
        <sz val="9"/>
        <color theme="1"/>
        <rFont val="맑은 고딕"/>
        <family val="3"/>
        <charset val="129"/>
      </rPr>
      <t>실제</t>
    </r>
    <r>
      <rPr>
        <sz val="9"/>
        <color theme="1"/>
        <rFont val="Calibri"/>
        <family val="2"/>
      </rPr>
      <t>__</t>
    </r>
    <r>
      <rPr>
        <sz val="9"/>
        <color theme="1"/>
        <rFont val="맑은 고딕"/>
        <family val="3"/>
        <charset val="129"/>
      </rPr>
      <t>총작업량</t>
    </r>
    <phoneticPr fontId="3" type="noConversion"/>
  </si>
  <si>
    <r>
      <rPr>
        <sz val="9"/>
        <color theme="1"/>
        <rFont val="맑은 고딕"/>
        <family val="3"/>
        <charset val="129"/>
      </rPr>
      <t>실제</t>
    </r>
    <r>
      <rPr>
        <sz val="9"/>
        <color theme="1"/>
        <rFont val="Calibri"/>
        <family val="2"/>
      </rPr>
      <t>\n</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</si>
  <si>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시작일</t>
    </r>
    <phoneticPr fontId="1" type="noConversion"/>
  </si>
  <si>
    <r>
      <rPr>
        <sz val="9"/>
        <color theme="1"/>
        <rFont val="맑은 고딕"/>
        <family val="3"/>
        <charset val="129"/>
      </rPr>
      <t>실제_x000D_</t>
    </r>
    <r>
      <rPr>
        <sz val="9"/>
        <color theme="1"/>
        <rFont val="Calibri"/>
        <family val="2"/>
      </rPr>
      <t>\n</t>
    </r>
    <r>
      <rPr>
        <sz val="9"/>
        <color theme="1"/>
        <rFont val="맑은 고딕"/>
        <family val="3"/>
        <charset val="129"/>
      </rPr>
      <t>시작일</t>
    </r>
    <r>
      <rPr>
        <sz val="9"/>
        <color theme="1"/>
        <rFont val="Calibri"/>
        <family val="2"/>
      </rPr>
      <t>-</t>
    </r>
    <r>
      <rPr>
        <sz val="9"/>
        <color theme="1"/>
        <rFont val="맑은 고딕"/>
        <family val="3"/>
        <charset val="129"/>
      </rPr>
      <t>완료일</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</si>
  <si>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총기간</t>
    </r>
    <phoneticPr fontId="1" type="noConversion"/>
  </si>
  <si>
    <r>
      <rPr>
        <sz val="9"/>
        <color theme="1"/>
        <rFont val="맑은 고딕"/>
        <family val="3"/>
        <charset val="129"/>
      </rPr>
      <t>실제</t>
    </r>
    <r>
      <rPr>
        <sz val="9"/>
        <color theme="1"/>
        <rFont val="Calibri"/>
        <family val="2"/>
      </rPr>
      <t>\n</t>
    </r>
    <r>
      <rPr>
        <sz val="9"/>
        <color theme="1"/>
        <rFont val="맑은 고딕"/>
        <family val="3"/>
        <charset val="129"/>
      </rPr>
      <t>총작업량</t>
    </r>
  </si>
  <si>
    <r>
      <rPr>
        <sz val="9"/>
        <color theme="1"/>
        <rFont val="맑은 고딕"/>
        <family val="3"/>
        <charset val="129"/>
      </rPr>
      <t>실제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작업량</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</si>
  <si>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투입된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</si>
  <si>
    <r>
      <rPr>
        <sz val="9"/>
        <color theme="1"/>
        <rFont val="맑은 고딕"/>
        <family val="3"/>
        <charset val="129"/>
      </rPr>
      <t>일정변경관리</t>
    </r>
    <r>
      <rPr>
        <sz val="9"/>
        <color theme="1"/>
        <rFont val="Calibri"/>
        <family val="2"/>
      </rPr>
      <t xml:space="preserve"> </t>
    </r>
    <r>
      <rPr>
        <sz val="9"/>
        <color theme="1"/>
        <rFont val="맑은 고딕"/>
        <family val="3"/>
        <charset val="129"/>
      </rPr>
      <t>하지</t>
    </r>
    <r>
      <rPr>
        <sz val="9"/>
        <color theme="1"/>
        <rFont val="Calibri"/>
        <family val="2"/>
      </rPr>
      <t xml:space="preserve"> </t>
    </r>
    <r>
      <rPr>
        <sz val="9"/>
        <color theme="1"/>
        <rFont val="맑은 고딕"/>
        <family val="3"/>
        <charset val="129"/>
      </rPr>
      <t>않을</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현재까지</t>
    </r>
    <r>
      <rPr>
        <sz val="9"/>
        <color theme="1"/>
        <rFont val="Calibri"/>
        <family val="2"/>
      </rPr>
      <t xml:space="preserve"> </t>
    </r>
    <r>
      <rPr>
        <sz val="9"/>
        <color theme="1"/>
        <rFont val="맑은 고딕"/>
        <family val="3"/>
        <charset val="129"/>
      </rPr>
      <t>실제로</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표시함</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</si>
  <si>
    <r>
      <rPr>
        <sz val="9"/>
        <color theme="1"/>
        <rFont val="맑은 고딕"/>
        <family val="3"/>
        <charset val="129"/>
      </rPr>
      <t>추가</t>
    </r>
    <r>
      <rPr>
        <sz val="9"/>
        <color theme="1"/>
        <rFont val="Calibri"/>
        <family val="2"/>
      </rPr>
      <t xml:space="preserve"> &gt;&gt;</t>
    </r>
  </si>
  <si>
    <r>
      <rPr>
        <sz val="9"/>
        <color theme="1"/>
        <rFont val="맑은 고딕"/>
        <family val="3"/>
        <charset val="129"/>
      </rPr>
      <t>언어</t>
    </r>
    <r>
      <rPr>
        <sz val="9"/>
        <color theme="1"/>
        <rFont val="Calibri"/>
        <family val="2"/>
      </rPr>
      <t xml:space="preserve"> </t>
    </r>
    <r>
      <rPr>
        <sz val="9"/>
        <color theme="1"/>
        <rFont val="맑은 고딕"/>
        <family val="3"/>
        <charset val="129"/>
      </rPr>
      <t>추가</t>
    </r>
  </si>
  <si>
    <r>
      <t>MS Outlook</t>
    </r>
    <r>
      <rPr>
        <sz val="9"/>
        <color theme="1"/>
        <rFont val="맑은 고딕"/>
        <family val="3"/>
        <charset val="129"/>
      </rPr>
      <t>일정</t>
    </r>
    <r>
      <rPr>
        <sz val="9"/>
        <color theme="1"/>
        <rFont val="Calibri"/>
        <family val="2"/>
      </rPr>
      <t xml:space="preserve"> </t>
    </r>
    <r>
      <rPr>
        <sz val="9"/>
        <color theme="1"/>
        <rFont val="맑은 고딕"/>
        <family val="3"/>
        <charset val="129"/>
      </rPr>
      <t>등록</t>
    </r>
  </si>
  <si>
    <r>
      <t>MS Outlook</t>
    </r>
    <r>
      <rPr>
        <sz val="9"/>
        <color theme="1"/>
        <rFont val="맑은 고딕"/>
        <family val="3"/>
        <charset val="129"/>
      </rPr>
      <t>작업</t>
    </r>
    <r>
      <rPr>
        <sz val="9"/>
        <color theme="1"/>
        <rFont val="Calibri"/>
        <family val="2"/>
      </rPr>
      <t xml:space="preserve"> </t>
    </r>
    <r>
      <rPr>
        <sz val="9"/>
        <color theme="1"/>
        <rFont val="맑은 고딕"/>
        <family val="3"/>
        <charset val="129"/>
      </rPr>
      <t>등록</t>
    </r>
  </si>
  <si>
    <r>
      <t>Microsoft Outlook</t>
    </r>
    <r>
      <rPr>
        <sz val="9"/>
        <color theme="1"/>
        <rFont val="맑은 고딕"/>
        <family val="3"/>
        <charset val="129"/>
      </rPr>
      <t>작업</t>
    </r>
    <r>
      <rPr>
        <sz val="9"/>
        <color theme="1"/>
        <rFont val="Calibri"/>
        <family val="2"/>
      </rPr>
      <t xml:space="preserve">, </t>
    </r>
    <r>
      <rPr>
        <sz val="9"/>
        <color theme="1"/>
        <rFont val="맑은 고딕"/>
        <family val="3"/>
        <charset val="129"/>
      </rPr>
      <t>일정등록</t>
    </r>
  </si>
  <si>
    <r>
      <rPr>
        <sz val="9"/>
        <color theme="1"/>
        <rFont val="맑은 고딕"/>
        <family val="3"/>
        <charset val="129"/>
      </rPr>
      <t>엑셀간트에서는</t>
    </r>
    <r>
      <rPr>
        <sz val="9"/>
        <color theme="1"/>
        <rFont val="Calibri"/>
        <family val="2"/>
      </rPr>
      <t xml:space="preserve"> Schedule</t>
    </r>
    <r>
      <rPr>
        <sz val="9"/>
        <color theme="1"/>
        <rFont val="맑은 고딕"/>
        <family val="3"/>
        <charset val="129"/>
      </rPr>
      <t>시트에</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작업을</t>
    </r>
    <r>
      <rPr>
        <sz val="9"/>
        <color theme="1"/>
        <rFont val="Calibri"/>
        <family val="2"/>
      </rPr>
      <t xml:space="preserve"> Microsoft Outlook</t>
    </r>
    <r>
      <rPr>
        <sz val="9"/>
        <color theme="1"/>
        <rFont val="맑은 고딕"/>
        <family val="3"/>
        <charset val="129"/>
      </rPr>
      <t>에</t>
    </r>
    <r>
      <rPr>
        <sz val="9"/>
        <color theme="1"/>
        <rFont val="Calibri"/>
        <family val="2"/>
      </rPr>
      <t xml:space="preserve"> </t>
    </r>
    <r>
      <rPr>
        <sz val="9"/>
        <color theme="1"/>
        <rFont val="맑은 고딕"/>
        <family val="3"/>
        <charset val="129"/>
      </rPr>
      <t>작업이나</t>
    </r>
    <r>
      <rPr>
        <sz val="9"/>
        <color theme="1"/>
        <rFont val="Calibri"/>
        <family val="2"/>
      </rPr>
      <t xml:space="preserve"> </t>
    </r>
    <r>
      <rPr>
        <sz val="9"/>
        <color theme="1"/>
        <rFont val="맑은 고딕"/>
        <family val="3"/>
        <charset val="129"/>
      </rPr>
      <t>일정으로</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r>
      <rPr>
        <sz val="9"/>
        <color theme="1"/>
        <rFont val="맑은 고딕"/>
        <family val="3"/>
        <charset val="129"/>
      </rPr>
      <t>단</t>
    </r>
    <r>
      <rPr>
        <sz val="9"/>
        <color theme="1"/>
        <rFont val="Calibri"/>
        <family val="2"/>
      </rPr>
      <t>, PC</t>
    </r>
    <r>
      <rPr>
        <sz val="9"/>
        <color theme="1"/>
        <rFont val="맑은 고딕"/>
        <family val="3"/>
        <charset val="129"/>
      </rPr>
      <t>에</t>
    </r>
    <r>
      <rPr>
        <sz val="9"/>
        <color theme="1"/>
        <rFont val="Calibri"/>
        <family val="2"/>
      </rPr>
      <t xml:space="preserve"> Microsoft Outlook</t>
    </r>
    <r>
      <rPr>
        <sz val="9"/>
        <color theme="1"/>
        <rFont val="맑은 고딕"/>
        <family val="3"/>
        <charset val="129"/>
      </rPr>
      <t>이</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한다</t>
    </r>
    <r>
      <rPr>
        <sz val="9"/>
        <color theme="1"/>
        <rFont val="Calibri"/>
        <family val="2"/>
      </rPr>
      <t>).</t>
    </r>
  </si>
  <si>
    <r>
      <rPr>
        <sz val="9"/>
        <color theme="1"/>
        <rFont val="맑은 고딕"/>
        <family val="3"/>
        <charset val="129"/>
      </rPr>
      <t>필터를</t>
    </r>
    <r>
      <rPr>
        <sz val="9"/>
        <color theme="1"/>
        <rFont val="Calibri"/>
        <family val="2"/>
      </rPr>
      <t xml:space="preserve"> </t>
    </r>
    <r>
      <rPr>
        <sz val="9"/>
        <color theme="1"/>
        <rFont val="맑은 고딕"/>
        <family val="3"/>
        <charset val="129"/>
      </rPr>
      <t>해제하고</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진행합니다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</si>
  <si>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빠름</t>
    </r>
    <phoneticPr fontId="1" type="noConversion"/>
  </si>
  <si>
    <r>
      <rPr>
        <sz val="9"/>
        <color theme="1"/>
        <rFont val="맑은 고딕"/>
        <family val="3"/>
        <charset val="129"/>
      </rPr>
      <t>전체</t>
    </r>
    <r>
      <rPr>
        <sz val="9"/>
        <color theme="1"/>
        <rFont val="Calibri"/>
        <family val="2"/>
      </rPr>
      <t xml:space="preserve"> </t>
    </r>
    <r>
      <rPr>
        <sz val="9"/>
        <color theme="1"/>
        <rFont val="맑은 고딕"/>
        <family val="3"/>
        <charset val="129"/>
      </rPr>
      <t>조회</t>
    </r>
    <r>
      <rPr>
        <sz val="9"/>
        <color theme="1"/>
        <rFont val="Calibri"/>
        <family val="2"/>
      </rPr>
      <t>(</t>
    </r>
    <r>
      <rPr>
        <sz val="9"/>
        <color theme="1"/>
        <rFont val="맑은 고딕"/>
        <family val="3"/>
        <charset val="129"/>
      </rPr>
      <t>필터</t>
    </r>
    <r>
      <rPr>
        <sz val="9"/>
        <color theme="1"/>
        <rFont val="Calibri"/>
        <family val="2"/>
      </rPr>
      <t xml:space="preserve"> </t>
    </r>
    <r>
      <rPr>
        <sz val="9"/>
        <color theme="1"/>
        <rFont val="맑은 고딕"/>
        <family val="3"/>
        <charset val="129"/>
      </rPr>
      <t>해제</t>
    </r>
    <r>
      <rPr>
        <sz val="9"/>
        <color theme="1"/>
        <rFont val="Calibri"/>
        <family val="2"/>
      </rPr>
      <t>)</t>
    </r>
  </si>
  <si>
    <r>
      <rPr>
        <sz val="9"/>
        <color theme="1"/>
        <rFont val="맑은 고딕"/>
        <family val="3"/>
        <charset val="129"/>
      </rPr>
      <t>최신버전</t>
    </r>
    <r>
      <rPr>
        <sz val="9"/>
        <color theme="1"/>
        <rFont val="Calibri"/>
        <family val="2"/>
      </rPr>
      <t xml:space="preserve"> </t>
    </r>
    <r>
      <rPr>
        <sz val="9"/>
        <color theme="1"/>
        <rFont val="맑은 고딕"/>
        <family val="3"/>
        <charset val="129"/>
      </rPr>
      <t>확인</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잠시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시도하세요</t>
    </r>
    <r>
      <rPr>
        <sz val="9"/>
        <color theme="1"/>
        <rFont val="Calibri"/>
        <family val="2"/>
      </rPr>
      <t>.\n</t>
    </r>
    <r>
      <rPr>
        <sz val="9"/>
        <color theme="1"/>
        <rFont val="맑은 고딕"/>
        <family val="3"/>
        <charset val="129"/>
      </rPr>
      <t>에러메시지</t>
    </r>
    <r>
      <rPr>
        <sz val="9"/>
        <color theme="1"/>
        <rFont val="Calibri"/>
        <family val="2"/>
      </rPr>
      <t xml:space="preserve"> : {}</t>
    </r>
  </si>
  <si>
    <r>
      <rPr>
        <sz val="9"/>
        <color theme="1"/>
        <rFont val="맑은 고딕"/>
        <family val="3"/>
        <charset val="129"/>
      </rPr>
      <t>서식</t>
    </r>
    <r>
      <rPr>
        <sz val="9"/>
        <color theme="1"/>
        <rFont val="Calibri"/>
        <family val="2"/>
      </rPr>
      <t xml:space="preserve">check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발생하였습니다</t>
    </r>
    <r>
      <rPr>
        <sz val="9"/>
        <color theme="1"/>
        <rFont val="Calibri"/>
        <family val="2"/>
      </rPr>
      <t>. XLGantt</t>
    </r>
    <r>
      <rPr>
        <sz val="9"/>
        <color theme="1"/>
        <rFont val="맑은 고딕"/>
        <family val="3"/>
        <charset val="129"/>
      </rPr>
      <t>를</t>
    </r>
    <r>
      <rPr>
        <sz val="9"/>
        <color theme="1"/>
        <rFont val="Calibri"/>
        <family val="2"/>
      </rPr>
      <t xml:space="preserve"> </t>
    </r>
    <r>
      <rPr>
        <sz val="9"/>
        <color theme="1"/>
        <rFont val="맑은 고딕"/>
        <family val="3"/>
        <charset val="129"/>
      </rPr>
      <t>종료하고</t>
    </r>
    <r>
      <rPr>
        <sz val="9"/>
        <color theme="1"/>
        <rFont val="Calibri"/>
        <family val="2"/>
      </rPr>
      <t xml:space="preserve"> </t>
    </r>
    <r>
      <rPr>
        <sz val="9"/>
        <color theme="1"/>
        <rFont val="맑은 고딕"/>
        <family val="3"/>
        <charset val="129"/>
      </rPr>
      <t>다시</t>
    </r>
    <r>
      <rPr>
        <sz val="9"/>
        <color theme="1"/>
        <rFont val="Calibri"/>
        <family val="2"/>
      </rPr>
      <t xml:space="preserve"> </t>
    </r>
    <r>
      <rPr>
        <sz val="9"/>
        <color theme="1"/>
        <rFont val="맑은 고딕"/>
        <family val="3"/>
        <charset val="129"/>
      </rPr>
      <t>시작하십시오</t>
    </r>
    <r>
      <rPr>
        <sz val="9"/>
        <color theme="1"/>
        <rFont val="Calibri"/>
        <family val="2"/>
      </rPr>
      <t>.</t>
    </r>
  </si>
  <si>
    <r>
      <rPr>
        <sz val="9"/>
        <color theme="1"/>
        <rFont val="맑은 고딕"/>
        <family val="3"/>
        <charset val="129"/>
      </rPr>
      <t>처리</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</si>
  <si>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분석</t>
    </r>
  </si>
  <si>
    <r>
      <rPr>
        <sz val="9"/>
        <color theme="1"/>
        <rFont val="맑은 고딕"/>
        <family val="3"/>
        <charset val="129"/>
      </rPr>
      <t>분석</t>
    </r>
    <r>
      <rPr>
        <sz val="9"/>
        <color theme="1"/>
        <rFont val="Calibri"/>
        <family val="2"/>
      </rPr>
      <t xml:space="preserve"> </t>
    </r>
    <r>
      <rPr>
        <sz val="9"/>
        <color theme="1"/>
        <rFont val="맑은 고딕"/>
        <family val="3"/>
        <charset val="129"/>
      </rPr>
      <t>리포트</t>
    </r>
  </si>
  <si>
    <r>
      <rPr>
        <sz val="9"/>
        <color theme="1"/>
        <rFont val="맑은 고딕"/>
        <family val="3"/>
        <charset val="129"/>
      </rPr>
      <t>모양</t>
    </r>
    <phoneticPr fontId="1" type="noConversion"/>
  </si>
  <si>
    <r>
      <rPr>
        <sz val="9"/>
        <color theme="1"/>
        <rFont val="맑은 고딕"/>
        <family val="3"/>
        <charset val="129"/>
      </rPr>
      <t>자동</t>
    </r>
    <phoneticPr fontId="1" type="noConversion"/>
  </si>
  <si>
    <r>
      <rPr>
        <sz val="9"/>
        <color theme="1"/>
        <rFont val="맑은 고딕"/>
        <family val="3"/>
        <charset val="129"/>
      </rPr>
      <t>데이터</t>
    </r>
    <r>
      <rPr>
        <sz val="9"/>
        <color theme="1"/>
        <rFont val="Calibri"/>
        <family val="2"/>
      </rPr>
      <t xml:space="preserve"> </t>
    </r>
    <r>
      <rPr>
        <sz val="9"/>
        <color theme="1"/>
        <rFont val="맑은 고딕"/>
        <family val="3"/>
        <charset val="129"/>
      </rPr>
      <t>표만</t>
    </r>
    <r>
      <rPr>
        <sz val="9"/>
        <color theme="1"/>
        <rFont val="Calibri"/>
        <family val="2"/>
      </rPr>
      <t xml:space="preserve"> </t>
    </r>
    <r>
      <rPr>
        <sz val="9"/>
        <color theme="1"/>
        <rFont val="맑은 고딕"/>
        <family val="3"/>
        <charset val="129"/>
      </rPr>
      <t>수동</t>
    </r>
    <phoneticPr fontId="1" type="noConversion"/>
  </si>
  <si>
    <r>
      <rPr>
        <sz val="9"/>
        <color theme="1"/>
        <rFont val="맑은 고딕"/>
        <family val="3"/>
        <charset val="129"/>
      </rPr>
      <t>자동지정</t>
    </r>
  </si>
  <si>
    <r>
      <rPr>
        <sz val="9"/>
        <color theme="1"/>
        <rFont val="맑은 고딕"/>
        <family val="3"/>
        <charset val="129"/>
      </rPr>
      <t>추가</t>
    </r>
    <r>
      <rPr>
        <sz val="9"/>
        <color theme="1"/>
        <rFont val="Calibri"/>
        <family val="2"/>
      </rPr>
      <t xml:space="preserve"> </t>
    </r>
    <r>
      <rPr>
        <sz val="9"/>
        <color theme="1"/>
        <rFont val="맑은 고딕"/>
        <family val="3"/>
        <charset val="129"/>
      </rPr>
      <t>가능한</t>
    </r>
    <r>
      <rPr>
        <sz val="9"/>
        <color theme="1"/>
        <rFont val="Calibri"/>
        <family val="2"/>
      </rPr>
      <t xml:space="preserve"> </t>
    </r>
    <r>
      <rPr>
        <sz val="9"/>
        <color theme="1"/>
        <rFont val="맑은 고딕"/>
        <family val="3"/>
        <charset val="129"/>
      </rPr>
      <t>언어</t>
    </r>
  </si>
  <si>
    <r>
      <t>Bar chart</t>
    </r>
    <r>
      <rPr>
        <sz val="9"/>
        <color theme="1"/>
        <rFont val="맑은 고딕"/>
        <family val="3"/>
        <charset val="129"/>
      </rPr>
      <t>의</t>
    </r>
    <r>
      <rPr>
        <sz val="9"/>
        <color theme="1"/>
        <rFont val="Calibri"/>
        <family val="2"/>
      </rPr>
      <t xml:space="preserve"> </t>
    </r>
    <r>
      <rPr>
        <sz val="9"/>
        <color theme="1"/>
        <rFont val="맑은 고딕"/>
        <family val="3"/>
        <charset val="129"/>
      </rPr>
      <t>텍스트</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위치</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</si>
  <si>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기한</t>
    </r>
    <r>
      <rPr>
        <sz val="9"/>
        <color theme="1"/>
        <rFont val="Calibri"/>
        <family val="2"/>
      </rPr>
      <t xml:space="preserve"> : {2}</t>
    </r>
  </si>
  <si>
    <r>
      <rPr>
        <sz val="9"/>
        <color theme="1"/>
        <rFont val="맑은 고딕"/>
        <family val="3"/>
        <charset val="129"/>
      </rPr>
      <t>다음</t>
    </r>
    <r>
      <rPr>
        <sz val="9"/>
        <color theme="1"/>
        <rFont val="Calibri"/>
        <family val="2"/>
      </rPr>
      <t xml:space="preserve"> </t>
    </r>
    <r>
      <rPr>
        <sz val="9"/>
        <color theme="1"/>
        <rFont val="맑은 고딕"/>
        <family val="3"/>
        <charset val="129"/>
      </rPr>
      <t>작업은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등록되어</t>
    </r>
    <r>
      <rPr>
        <sz val="9"/>
        <color theme="1"/>
        <rFont val="Calibri"/>
        <family val="2"/>
      </rPr>
      <t xml:space="preserve"> </t>
    </r>
    <r>
      <rPr>
        <sz val="9"/>
        <color theme="1"/>
        <rFont val="맑은 고딕"/>
        <family val="3"/>
        <charset val="129"/>
      </rPr>
      <t>있으므로</t>
    </r>
    <r>
      <rPr>
        <sz val="9"/>
        <color theme="1"/>
        <rFont val="Calibri"/>
        <family val="2"/>
      </rPr>
      <t xml:space="preserve"> </t>
    </r>
    <r>
      <rPr>
        <sz val="9"/>
        <color theme="1"/>
        <rFont val="맑은 고딕"/>
        <family val="3"/>
        <charset val="129"/>
      </rPr>
      <t>등록하지</t>
    </r>
    <r>
      <rPr>
        <sz val="9"/>
        <color theme="1"/>
        <rFont val="Calibri"/>
        <family val="2"/>
      </rPr>
      <t xml:space="preserve"> </t>
    </r>
    <r>
      <rPr>
        <sz val="9"/>
        <color theme="1"/>
        <rFont val="맑은 고딕"/>
        <family val="3"/>
        <charset val="129"/>
      </rPr>
      <t>않습니다</t>
    </r>
    <r>
      <rPr>
        <sz val="9"/>
        <color theme="1"/>
        <rFont val="Calibri"/>
        <family val="2"/>
      </rPr>
      <t>.\n\n</t>
    </r>
    <r>
      <rPr>
        <sz val="9"/>
        <color theme="1"/>
        <rFont val="맑은 고딕"/>
        <family val="3"/>
        <charset val="129"/>
      </rPr>
      <t>작업명</t>
    </r>
    <r>
      <rPr>
        <sz val="9"/>
        <color theme="1"/>
        <rFont val="Calibri"/>
        <family val="2"/>
      </rPr>
      <t xml:space="preserve"> : {1} \n</t>
    </r>
    <r>
      <rPr>
        <sz val="9"/>
        <color theme="1"/>
        <rFont val="맑은 고딕"/>
        <family val="3"/>
        <charset val="129"/>
      </rPr>
      <t>시작일</t>
    </r>
    <r>
      <rPr>
        <sz val="9"/>
        <color theme="1"/>
        <rFont val="Calibri"/>
        <family val="2"/>
      </rPr>
      <t xml:space="preserve"> : {2}</t>
    </r>
  </si>
  <si>
    <r>
      <rPr>
        <sz val="9"/>
        <color theme="1"/>
        <rFont val="맑은 고딕"/>
        <family val="3"/>
        <charset val="129"/>
      </rPr>
      <t>일정</t>
    </r>
    <r>
      <rPr>
        <sz val="9"/>
        <color theme="1"/>
        <rFont val="Calibri"/>
        <family val="2"/>
      </rPr>
      <t xml:space="preserve"> </t>
    </r>
    <r>
      <rPr>
        <sz val="9"/>
        <color theme="1"/>
        <rFont val="맑은 고딕"/>
        <family val="3"/>
        <charset val="129"/>
      </rPr>
      <t>지연</t>
    </r>
    <phoneticPr fontId="1" type="noConversion"/>
  </si>
  <si>
    <r>
      <rPr>
        <sz val="9"/>
        <color theme="1"/>
        <rFont val="맑은 고딕"/>
        <family val="3"/>
        <charset val="129"/>
      </rPr>
      <t>흑백</t>
    </r>
    <phoneticPr fontId="1" type="noConversion"/>
  </si>
  <si>
    <r>
      <rPr>
        <sz val="9"/>
        <color theme="1"/>
        <rFont val="맑은 고딕"/>
        <family val="3"/>
        <charset val="129"/>
      </rPr>
      <t>완료율</t>
    </r>
  </si>
  <si>
    <r>
      <rPr>
        <sz val="9"/>
        <color theme="1"/>
        <rFont val="맑은 고딕"/>
        <family val="3"/>
        <charset val="129"/>
      </rPr>
      <t>기간</t>
    </r>
  </si>
  <si>
    <r>
      <rPr>
        <sz val="9"/>
        <color theme="1"/>
        <rFont val="맑은 고딕"/>
        <family val="3"/>
        <charset val="129"/>
      </rPr>
      <t>담당</t>
    </r>
    <phoneticPr fontId="1" type="noConversion"/>
  </si>
  <si>
    <r>
      <rPr>
        <sz val="9"/>
        <color theme="1"/>
        <rFont val="맑은 고딕"/>
        <family val="3"/>
        <charset val="129"/>
      </rPr>
      <t>자원배정비율로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</si>
  <si>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가중치로</t>
    </r>
    <r>
      <rPr>
        <sz val="9"/>
        <color theme="1"/>
        <rFont val="Calibri"/>
        <family val="2"/>
      </rPr>
      <t xml:space="preserve"> </t>
    </r>
    <r>
      <rPr>
        <sz val="9"/>
        <color theme="1"/>
        <rFont val="맑은 고딕"/>
        <family val="3"/>
        <charset val="129"/>
      </rPr>
      <t>계산</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</si>
  <si>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</si>
  <si>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시작일보다</t>
    </r>
    <r>
      <rPr>
        <sz val="9"/>
        <color theme="1"/>
        <rFont val="Calibri"/>
        <family val="2"/>
      </rPr>
      <t xml:space="preserve"> </t>
    </r>
    <r>
      <rPr>
        <sz val="9"/>
        <color theme="1"/>
        <rFont val="맑은 고딕"/>
        <family val="3"/>
        <charset val="129"/>
      </rPr>
      <t>크거나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</si>
  <si>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기준일자는</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작거나</t>
    </r>
    <r>
      <rPr>
        <sz val="9"/>
        <color theme="1"/>
        <rFont val="Calibri"/>
        <family val="2"/>
      </rPr>
      <t xml:space="preserve"> </t>
    </r>
    <r>
      <rPr>
        <sz val="9"/>
        <color theme="1"/>
        <rFont val="맑은 고딕"/>
        <family val="3"/>
        <charset val="129"/>
      </rPr>
      <t>같아야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</si>
  <si>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계산</t>
    </r>
    <r>
      <rPr>
        <sz val="9"/>
        <color theme="1"/>
        <rFont val="Calibri"/>
        <family val="2"/>
      </rPr>
      <t xml:space="preserve"> </t>
    </r>
    <r>
      <rPr>
        <sz val="9"/>
        <color theme="1"/>
        <rFont val="맑은 고딕"/>
        <family val="3"/>
        <charset val="129"/>
      </rPr>
      <t>옵션</t>
    </r>
    <phoneticPr fontId="1" type="noConversion"/>
  </si>
  <si>
    <r>
      <rPr>
        <sz val="9"/>
        <color theme="1"/>
        <rFont val="맑은 고딕"/>
        <family val="3"/>
        <charset val="129"/>
      </rPr>
      <t>취소</t>
    </r>
  </si>
  <si>
    <r>
      <rPr>
        <sz val="9"/>
        <color theme="1"/>
        <rFont val="맑은 고딕"/>
        <family val="3"/>
        <charset val="129"/>
      </rPr>
      <t>차트</t>
    </r>
  </si>
  <si>
    <r>
      <rPr>
        <sz val="9"/>
        <color theme="1"/>
        <rFont val="맑은 고딕"/>
        <family val="3"/>
        <charset val="129"/>
      </rPr>
      <t>최신버전</t>
    </r>
    <r>
      <rPr>
        <sz val="9"/>
        <color theme="1"/>
        <rFont val="Calibri"/>
        <family val="2"/>
      </rPr>
      <t>\n</t>
    </r>
    <r>
      <rPr>
        <sz val="9"/>
        <color theme="1"/>
        <rFont val="맑은 고딕"/>
        <family val="3"/>
        <charset val="129"/>
      </rPr>
      <t>확인</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</si>
  <si>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확인</t>
    </r>
  </si>
  <si>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</si>
  <si>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종류</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</si>
  <si>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t>
    </r>
    <r>
      <rPr>
        <sz val="9"/>
        <color theme="1"/>
        <rFont val="Calibri"/>
        <family val="2"/>
      </rPr>
      <t xml:space="preserve"> </t>
    </r>
    <r>
      <rPr>
        <sz val="9"/>
        <color theme="1"/>
        <rFont val="맑은 고딕"/>
        <family val="3"/>
        <charset val="129"/>
      </rPr>
      <t>선택</t>
    </r>
  </si>
  <si>
    <r>
      <t>XLGantt</t>
    </r>
    <r>
      <rPr>
        <sz val="9"/>
        <color theme="1"/>
        <rFont val="맑은 고딕"/>
        <family val="3"/>
        <charset val="129"/>
      </rPr>
      <t>에서</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</si>
  <si>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언어를</t>
    </r>
    <r>
      <rPr>
        <sz val="9"/>
        <color theme="1"/>
        <rFont val="Calibri"/>
        <family val="2"/>
      </rPr>
      <t xml:space="preserve"> </t>
    </r>
    <r>
      <rPr>
        <sz val="9"/>
        <color theme="1"/>
        <rFont val="맑은 고딕"/>
        <family val="3"/>
        <charset val="129"/>
      </rPr>
      <t>선택하세요</t>
    </r>
  </si>
  <si>
    <r>
      <rPr>
        <sz val="9"/>
        <color theme="1"/>
        <rFont val="맑은 고딕"/>
        <family val="3"/>
        <charset val="129"/>
      </rPr>
      <t>가져오기</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</si>
  <si>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컴퓨터</t>
    </r>
    <r>
      <rPr>
        <sz val="9"/>
        <color theme="1"/>
        <rFont val="Calibri"/>
        <family val="2"/>
      </rPr>
      <t xml:space="preserve"> O/S</t>
    </r>
    <r>
      <rPr>
        <sz val="9"/>
        <color theme="1"/>
        <rFont val="맑은 고딕"/>
        <family val="3"/>
        <charset val="129"/>
      </rPr>
      <t>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t>
    </r>
  </si>
  <si>
    <r>
      <rPr>
        <sz val="9"/>
        <color theme="1"/>
        <rFont val="맑은 고딕"/>
        <family val="3"/>
        <charset val="129"/>
      </rPr>
      <t>산출물</t>
    </r>
    <r>
      <rPr>
        <sz val="9"/>
        <color theme="1"/>
        <rFont val="Calibri"/>
        <family val="2"/>
      </rPr>
      <t xml:space="preserve"> </t>
    </r>
    <r>
      <rPr>
        <sz val="9"/>
        <color theme="1"/>
        <rFont val="맑은 고딕"/>
        <family val="3"/>
        <charset val="129"/>
      </rPr>
      <t>종류를</t>
    </r>
    <r>
      <rPr>
        <sz val="9"/>
        <color theme="1"/>
        <rFont val="Calibri"/>
        <family val="2"/>
      </rPr>
      <t xml:space="preserve"> </t>
    </r>
    <r>
      <rPr>
        <sz val="9"/>
        <color theme="1"/>
        <rFont val="맑은 고딕"/>
        <family val="3"/>
        <charset val="129"/>
      </rPr>
      <t>선택하세요</t>
    </r>
  </si>
  <si>
    <r>
      <rPr>
        <sz val="9"/>
        <color theme="1"/>
        <rFont val="맑은 고딕"/>
        <family val="3"/>
        <charset val="129"/>
      </rPr>
      <t>서버데이터</t>
    </r>
    <r>
      <rPr>
        <sz val="9"/>
        <color theme="1"/>
        <rFont val="Calibri"/>
        <family val="2"/>
      </rPr>
      <t xml:space="preserve"> </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수행할</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</si>
  <si>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닫기</t>
    </r>
  </si>
  <si>
    <r>
      <rPr>
        <sz val="9"/>
        <color theme="1"/>
        <rFont val="맑은 고딕"/>
        <family val="3"/>
        <charset val="129"/>
      </rPr>
      <t>컬러</t>
    </r>
    <r>
      <rPr>
        <sz val="9"/>
        <color theme="1"/>
        <rFont val="Calibri"/>
        <family val="2"/>
      </rPr>
      <t xml:space="preserve"> </t>
    </r>
    <r>
      <rPr>
        <sz val="9"/>
        <color theme="1"/>
        <rFont val="맑은 고딕"/>
        <family val="3"/>
        <charset val="129"/>
      </rPr>
      <t>테마</t>
    </r>
    <phoneticPr fontId="1" type="noConversion"/>
  </si>
  <si>
    <r>
      <rPr>
        <sz val="9"/>
        <color theme="1"/>
        <rFont val="맑은 고딕"/>
        <family val="3"/>
        <charset val="129"/>
      </rPr>
      <t>완료</t>
    </r>
  </si>
  <si>
    <r>
      <rPr>
        <sz val="9"/>
        <color theme="1"/>
        <rFont val="맑은 고딕"/>
        <family val="3"/>
        <charset val="129"/>
      </rPr>
      <t>포함</t>
    </r>
  </si>
  <si>
    <r>
      <t>Workload Data</t>
    </r>
    <r>
      <rPr>
        <sz val="9"/>
        <color theme="1"/>
        <rFont val="맑은 고딕"/>
        <family val="3"/>
        <charset val="129"/>
      </rPr>
      <t>생성</t>
    </r>
    <r>
      <rPr>
        <sz val="9"/>
        <color theme="1"/>
        <rFont val="Calibri"/>
        <family val="2"/>
      </rPr>
      <t>(</t>
    </r>
    <r>
      <rPr>
        <sz val="9"/>
        <color theme="1"/>
        <rFont val="맑은 고딕"/>
        <family val="3"/>
        <charset val="129"/>
      </rPr>
      <t>월별</t>
    </r>
    <r>
      <rPr>
        <sz val="9"/>
        <color theme="1"/>
        <rFont val="Calibri"/>
        <family val="2"/>
      </rPr>
      <t>)</t>
    </r>
  </si>
  <si>
    <r>
      <t>Workload Data</t>
    </r>
    <r>
      <rPr>
        <sz val="9"/>
        <color theme="1"/>
        <rFont val="맑은 고딕"/>
        <family val="3"/>
        <charset val="129"/>
      </rPr>
      <t>생성</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</si>
  <si>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현재</t>
    </r>
    <r>
      <rPr>
        <sz val="9"/>
        <color theme="1"/>
        <rFont val="Calibri"/>
        <family val="2"/>
      </rPr>
      <t xml:space="preserve"> </t>
    </r>
    <r>
      <rPr>
        <sz val="9"/>
        <color theme="1"/>
        <rFont val="맑은 고딕"/>
        <family val="3"/>
        <charset val="129"/>
      </rPr>
      <t>사용중인</t>
    </r>
    <r>
      <rPr>
        <sz val="9"/>
        <color theme="1"/>
        <rFont val="Calibri"/>
        <family val="2"/>
      </rPr>
      <t xml:space="preserve"> </t>
    </r>
    <r>
      <rPr>
        <sz val="9"/>
        <color theme="1"/>
        <rFont val="맑은 고딕"/>
        <family val="3"/>
        <charset val="129"/>
      </rPr>
      <t>버전</t>
    </r>
  </si>
  <si>
    <r>
      <rPr>
        <sz val="9"/>
        <color theme="1"/>
        <rFont val="맑은 고딕"/>
        <family val="3"/>
        <charset val="129"/>
      </rPr>
      <t>사용자</t>
    </r>
    <r>
      <rPr>
        <sz val="9"/>
        <color theme="1"/>
        <rFont val="Calibri"/>
        <family val="2"/>
      </rPr>
      <t xml:space="preserve"> </t>
    </r>
    <r>
      <rPr>
        <sz val="9"/>
        <color theme="1"/>
        <rFont val="맑은 고딕"/>
        <family val="3"/>
        <charset val="129"/>
      </rPr>
      <t>정의</t>
    </r>
    <phoneticPr fontId="1" type="noConversion"/>
  </si>
  <si>
    <r>
      <rPr>
        <sz val="9"/>
        <color theme="1"/>
        <rFont val="맑은 고딕"/>
        <family val="3"/>
        <charset val="129"/>
      </rPr>
      <t>일별</t>
    </r>
  </si>
  <si>
    <r>
      <rPr>
        <sz val="9"/>
        <color theme="1"/>
        <rFont val="맑은 고딕"/>
        <family val="3"/>
        <charset val="129"/>
      </rPr>
      <t>일별보기</t>
    </r>
  </si>
  <si>
    <r>
      <rPr>
        <sz val="9"/>
        <color theme="1"/>
        <rFont val="맑은 고딕"/>
        <family val="3"/>
        <charset val="129"/>
      </rPr>
      <t>일</t>
    </r>
    <r>
      <rPr>
        <sz val="9"/>
        <color theme="1"/>
        <rFont val="Calibri"/>
        <family val="2"/>
      </rPr>
      <t xml:space="preserve"> (</t>
    </r>
    <r>
      <rPr>
        <sz val="9"/>
        <color theme="1"/>
        <rFont val="맑은 고딕"/>
        <family val="3"/>
        <charset val="129"/>
      </rPr>
      <t>월평균</t>
    </r>
    <r>
      <rPr>
        <sz val="9"/>
        <color theme="1"/>
        <rFont val="Calibri"/>
        <family val="2"/>
      </rPr>
      <t xml:space="preserve"> </t>
    </r>
    <r>
      <rPr>
        <sz val="9"/>
        <color theme="1"/>
        <rFont val="맑은 고딕"/>
        <family val="3"/>
        <charset val="129"/>
      </rPr>
      <t>근무일수</t>
    </r>
    <r>
      <rPr>
        <sz val="9"/>
        <color theme="1"/>
        <rFont val="Calibri"/>
        <family val="2"/>
      </rPr>
      <t>)</t>
    </r>
  </si>
  <si>
    <r>
      <rPr>
        <sz val="9"/>
        <color theme="1"/>
        <rFont val="맑은 고딕"/>
        <family val="3"/>
        <charset val="129"/>
      </rPr>
      <t>휴무일로</t>
    </r>
    <r>
      <rPr>
        <sz val="9"/>
        <color theme="1"/>
        <rFont val="Calibri"/>
        <family val="2"/>
      </rPr>
      <t xml:space="preserve"> </t>
    </r>
    <r>
      <rPr>
        <sz val="9"/>
        <color theme="1"/>
        <rFont val="맑은 고딕"/>
        <family val="3"/>
        <charset val="129"/>
      </rPr>
      <t>계산되는</t>
    </r>
    <r>
      <rPr>
        <sz val="9"/>
        <color theme="1"/>
        <rFont val="Calibri"/>
        <family val="2"/>
      </rPr>
      <t xml:space="preserve"> </t>
    </r>
    <r>
      <rPr>
        <sz val="9"/>
        <color theme="1"/>
        <rFont val="맑은 고딕"/>
        <family val="3"/>
        <charset val="129"/>
      </rPr>
      <t>날</t>
    </r>
  </si>
  <si>
    <r>
      <rPr>
        <sz val="9"/>
        <color theme="1"/>
        <rFont val="맑은 고딕"/>
        <family val="3"/>
        <charset val="129"/>
      </rPr>
      <t>기본</t>
    </r>
    <phoneticPr fontId="1" type="noConversion"/>
  </si>
  <si>
    <r>
      <rPr>
        <sz val="9"/>
        <color theme="1"/>
        <rFont val="맑은 고딕"/>
        <family val="3"/>
        <charset val="129"/>
      </rPr>
      <t>산출물</t>
    </r>
  </si>
  <si>
    <r>
      <rPr>
        <sz val="9"/>
        <color theme="1"/>
        <rFont val="맑은 고딕"/>
        <family val="3"/>
        <charset val="129"/>
      </rPr>
      <t>산출물</t>
    </r>
    <r>
      <rPr>
        <sz val="9"/>
        <color theme="1"/>
        <rFont val="Calibri"/>
        <family val="2"/>
      </rPr>
      <t xml:space="preserve"> </t>
    </r>
    <r>
      <rPr>
        <sz val="9"/>
        <color theme="1"/>
        <rFont val="맑은 고딕"/>
        <family val="3"/>
        <charset val="129"/>
      </rPr>
      <t>필드입니다</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</si>
  <si>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</si>
  <si>
    <r>
      <rPr>
        <sz val="9"/>
        <color theme="1"/>
        <rFont val="맑은 고딕"/>
        <family val="3"/>
        <charset val="129"/>
      </rPr>
      <t>실적진척율</t>
    </r>
    <r>
      <rPr>
        <sz val="9"/>
        <color theme="1"/>
        <rFont val="Calibri"/>
        <family val="2"/>
      </rPr>
      <t xml:space="preserve"> </t>
    </r>
    <r>
      <rPr>
        <sz val="9"/>
        <color theme="1"/>
        <rFont val="맑은 고딕"/>
        <family val="3"/>
        <charset val="129"/>
      </rPr>
      <t>표시</t>
    </r>
  </si>
  <si>
    <r>
      <rPr>
        <sz val="9"/>
        <color theme="1"/>
        <rFont val="맑은 고딕"/>
        <family val="3"/>
        <charset val="129"/>
      </rPr>
      <t>날짜</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</si>
  <si>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</si>
  <si>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완료된</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폰트색상</t>
    </r>
    <r>
      <rPr>
        <sz val="9"/>
        <color theme="1"/>
        <rFont val="Calibri"/>
        <family val="2"/>
      </rPr>
      <t xml:space="preserve"> </t>
    </r>
    <r>
      <rPr>
        <sz val="9"/>
        <color theme="1"/>
        <rFont val="맑은 고딕"/>
        <family val="3"/>
        <charset val="129"/>
      </rPr>
      <t>회색표시</t>
    </r>
  </si>
  <si>
    <r>
      <rPr>
        <sz val="9"/>
        <color theme="1"/>
        <rFont val="맑은 고딕"/>
        <family val="3"/>
        <charset val="129"/>
      </rPr>
      <t>작업그룹의</t>
    </r>
    <r>
      <rPr>
        <sz val="9"/>
        <color theme="1"/>
        <rFont val="Calibri"/>
        <family val="2"/>
      </rPr>
      <t xml:space="preserve"> </t>
    </r>
    <r>
      <rPr>
        <sz val="9"/>
        <color theme="1"/>
        <rFont val="맑은 고딕"/>
        <family val="3"/>
        <charset val="129"/>
      </rPr>
      <t>배경색</t>
    </r>
    <r>
      <rPr>
        <sz val="9"/>
        <color theme="1"/>
        <rFont val="Calibri"/>
        <family val="2"/>
      </rPr>
      <t xml:space="preserve"> </t>
    </r>
    <r>
      <rPr>
        <sz val="9"/>
        <color theme="1"/>
        <rFont val="맑은 고딕"/>
        <family val="3"/>
        <charset val="129"/>
      </rPr>
      <t>회색표시</t>
    </r>
  </si>
  <si>
    <r>
      <rPr>
        <sz val="9"/>
        <color theme="1"/>
        <rFont val="맑은 고딕"/>
        <family val="3"/>
        <charset val="129"/>
      </rPr>
      <t>계획진척율</t>
    </r>
    <r>
      <rPr>
        <sz val="9"/>
        <color theme="1"/>
        <rFont val="Calibri"/>
        <family val="2"/>
      </rPr>
      <t xml:space="preserve"> </t>
    </r>
    <r>
      <rPr>
        <sz val="9"/>
        <color theme="1"/>
        <rFont val="맑은 고딕"/>
        <family val="3"/>
        <charset val="129"/>
      </rPr>
      <t>표시</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</si>
  <si>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주차</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</si>
  <si>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담당</t>
    </r>
    <r>
      <rPr>
        <sz val="9"/>
        <color theme="1"/>
        <rFont val="Calibri"/>
        <family val="2"/>
      </rPr>
      <t xml:space="preserve"> </t>
    </r>
    <r>
      <rPr>
        <sz val="9"/>
        <color theme="1"/>
        <rFont val="맑은 고딕"/>
        <family val="3"/>
        <charset val="129"/>
      </rPr>
      <t>표시</t>
    </r>
  </si>
  <si>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</si>
  <si>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</si>
  <si>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프로젝트</t>
    </r>
    <r>
      <rPr>
        <sz val="9"/>
        <color theme="1"/>
        <rFont val="Calibri"/>
        <family val="2"/>
      </rPr>
      <t xml:space="preserve"> </t>
    </r>
    <r>
      <rPr>
        <sz val="9"/>
        <color theme="1"/>
        <rFont val="맑은 고딕"/>
        <family val="3"/>
        <charset val="129"/>
      </rPr>
      <t>전체의</t>
    </r>
    <r>
      <rPr>
        <sz val="9"/>
        <color theme="1"/>
        <rFont val="Calibri"/>
        <family val="2"/>
      </rPr>
      <t xml:space="preserve"> </t>
    </r>
    <r>
      <rPr>
        <sz val="9"/>
        <color theme="1"/>
        <rFont val="맑은 고딕"/>
        <family val="3"/>
        <charset val="129"/>
      </rPr>
      <t>작업량을</t>
    </r>
    <r>
      <rPr>
        <sz val="9"/>
        <color theme="1"/>
        <rFont val="Calibri"/>
        <family val="2"/>
      </rPr>
      <t xml:space="preserve"> Man/Day</t>
    </r>
    <r>
      <rPr>
        <sz val="9"/>
        <color theme="1"/>
        <rFont val="맑은 고딕"/>
        <family val="3"/>
        <charset val="129"/>
      </rPr>
      <t>로</t>
    </r>
    <r>
      <rPr>
        <sz val="9"/>
        <color theme="1"/>
        <rFont val="Calibri"/>
        <family val="2"/>
      </rPr>
      <t xml:space="preserve"> </t>
    </r>
    <r>
      <rPr>
        <sz val="9"/>
        <color theme="1"/>
        <rFont val="맑은 고딕"/>
        <family val="3"/>
        <charset val="129"/>
      </rPr>
      <t>표시한다</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적용한</t>
    </r>
    <r>
      <rPr>
        <sz val="9"/>
        <color theme="1"/>
        <rFont val="Calibri"/>
        <family val="2"/>
      </rPr>
      <t xml:space="preserve"> </t>
    </r>
    <r>
      <rPr>
        <sz val="9"/>
        <color theme="1"/>
        <rFont val="맑은 고딕"/>
        <family val="3"/>
        <charset val="129"/>
      </rPr>
      <t>값이다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</si>
  <si>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년도</t>
    </r>
    <r>
      <rPr>
        <sz val="9"/>
        <color theme="1"/>
        <rFont val="Calibri"/>
        <family val="2"/>
      </rPr>
      <t xml:space="preserve"> </t>
    </r>
    <r>
      <rPr>
        <sz val="9"/>
        <color theme="1"/>
        <rFont val="맑은 고딕"/>
        <family val="3"/>
        <charset val="129"/>
      </rPr>
      <t>표시</t>
    </r>
    <phoneticPr fontId="1" type="noConversion"/>
  </si>
  <si>
    <r>
      <rPr>
        <sz val="9"/>
        <color theme="1"/>
        <rFont val="맑은 고딕"/>
        <family val="3"/>
        <charset val="129"/>
      </rPr>
      <t>실적</t>
    </r>
    <r>
      <rPr>
        <sz val="9"/>
        <color theme="1"/>
        <rFont val="Calibri"/>
        <family val="2"/>
      </rPr>
      <t xml:space="preserve"> </t>
    </r>
    <r>
      <rPr>
        <sz val="9"/>
        <color theme="1"/>
        <rFont val="맑은 고딕"/>
        <family val="3"/>
        <charset val="129"/>
      </rPr>
      <t>열에</t>
    </r>
    <r>
      <rPr>
        <sz val="9"/>
        <color theme="1"/>
        <rFont val="Calibri"/>
        <family val="2"/>
      </rPr>
      <t xml:space="preserve"> </t>
    </r>
    <r>
      <rPr>
        <sz val="9"/>
        <color theme="1"/>
        <rFont val="맑은 고딕"/>
        <family val="3"/>
        <charset val="129"/>
      </rPr>
      <t>표시됨</t>
    </r>
    <phoneticPr fontId="1" type="noConversion"/>
  </si>
  <si>
    <r>
      <t>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</si>
  <si>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</si>
  <si>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프로그램</t>
    </r>
    <r>
      <rPr>
        <sz val="9"/>
        <color theme="1"/>
        <rFont val="Calibri"/>
        <family val="2"/>
      </rPr>
      <t xml:space="preserve"> </t>
    </r>
    <r>
      <rPr>
        <sz val="9"/>
        <color theme="1"/>
        <rFont val="맑은 고딕"/>
        <family val="3"/>
        <charset val="129"/>
      </rPr>
      <t>최신버전</t>
    </r>
    <r>
      <rPr>
        <sz val="9"/>
        <color theme="1"/>
        <rFont val="Calibri"/>
        <family val="2"/>
      </rPr>
      <t xml:space="preserve"> </t>
    </r>
    <r>
      <rPr>
        <sz val="9"/>
        <color theme="1"/>
        <rFont val="맑은 고딕"/>
        <family val="3"/>
        <charset val="129"/>
      </rPr>
      <t>다운로드</t>
    </r>
  </si>
  <si>
    <r>
      <t xml:space="preserve">Gantt chart </t>
    </r>
    <r>
      <rPr>
        <sz val="9"/>
        <color theme="1"/>
        <rFont val="맑은 고딕"/>
        <family val="3"/>
        <charset val="129"/>
      </rPr>
      <t>그리기</t>
    </r>
    <r>
      <rPr>
        <sz val="9"/>
        <color theme="1"/>
        <rFont val="Calibri"/>
        <family val="2"/>
      </rPr>
      <t xml:space="preserve"> </t>
    </r>
    <r>
      <rPr>
        <sz val="9"/>
        <color theme="1"/>
        <rFont val="맑은 고딕"/>
        <family val="3"/>
        <charset val="129"/>
      </rPr>
      <t>작업</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</si>
  <si>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</si>
  <si>
    <r>
      <rPr>
        <sz val="9"/>
        <color theme="1"/>
        <rFont val="맑은 고딕"/>
        <family val="3"/>
        <charset val="129"/>
      </rPr>
      <t>기간</t>
    </r>
    <r>
      <rPr>
        <sz val="9"/>
        <color theme="1"/>
        <rFont val="Calibri"/>
        <family val="2"/>
      </rPr>
      <t xml:space="preserve"> </t>
    </r>
    <r>
      <rPr>
        <sz val="9"/>
        <color theme="1"/>
        <rFont val="맑은 고딕"/>
        <family val="3"/>
        <charset val="129"/>
      </rPr>
      <t>지정</t>
    </r>
  </si>
  <si>
    <r>
      <rPr>
        <sz val="9"/>
        <color theme="1"/>
        <rFont val="맑은 고딕"/>
        <family val="3"/>
        <charset val="129"/>
      </rPr>
      <t>실적기성</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</si>
  <si>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실적기성</t>
    </r>
    <phoneticPr fontId="1" type="noConversion"/>
  </si>
  <si>
    <r>
      <rPr>
        <sz val="9"/>
        <color theme="1"/>
        <rFont val="맑은 고딕"/>
        <family val="3"/>
        <charset val="129"/>
      </rPr>
      <t>일정변경관리</t>
    </r>
    <r>
      <rPr>
        <sz val="9"/>
        <color theme="1"/>
        <rFont val="Calibri"/>
        <family val="2"/>
      </rPr>
      <t xml:space="preserve"> </t>
    </r>
    <r>
      <rPr>
        <sz val="9"/>
        <color theme="1"/>
        <rFont val="맑은 고딕"/>
        <family val="3"/>
        <charset val="129"/>
      </rPr>
      <t>할때</t>
    </r>
    <r>
      <rPr>
        <sz val="9"/>
        <color theme="1"/>
        <rFont val="Calibri"/>
        <family val="2"/>
      </rPr>
      <t xml:space="preserve"> </t>
    </r>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</si>
  <si>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t>
    </r>
    <r>
      <rPr>
        <sz val="9"/>
        <color theme="1"/>
        <rFont val="맑은 고딕"/>
        <family val="3"/>
        <charset val="129"/>
      </rPr>
      <t>총기간</t>
    </r>
    <r>
      <rPr>
        <sz val="9"/>
        <color theme="1"/>
        <rFont val="Calibri"/>
        <family val="2"/>
      </rPr>
      <t xml:space="preserve"> x </t>
    </r>
    <r>
      <rPr>
        <sz val="9"/>
        <color theme="1"/>
        <rFont val="맑은 고딕"/>
        <family val="3"/>
        <charset val="129"/>
      </rPr>
      <t>총실적진행율</t>
    </r>
    <r>
      <rPr>
        <sz val="9"/>
        <color theme="1"/>
        <rFont val="Calibri"/>
        <family val="2"/>
      </rPr>
      <t>)</t>
    </r>
    <phoneticPr fontId="1" type="noConversion"/>
  </si>
  <si>
    <r>
      <rPr>
        <sz val="9"/>
        <color theme="1"/>
        <rFont val="맑은 고딕"/>
        <family val="3"/>
        <charset val="129"/>
      </rPr>
      <t>실적기성</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</si>
  <si>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실적기성</t>
    </r>
    <r>
      <rPr>
        <sz val="9"/>
        <color theme="1"/>
        <rFont val="Calibri"/>
        <family val="2"/>
      </rPr>
      <t>( C )\nMan-day</t>
    </r>
    <phoneticPr fontId="1" type="noConversion"/>
  </si>
  <si>
    <r>
      <rPr>
        <sz val="9"/>
        <color theme="1"/>
        <rFont val="맑은 고딕"/>
        <family val="3"/>
        <charset val="129"/>
      </rPr>
      <t>실적기성</t>
    </r>
    <r>
      <rPr>
        <sz val="9"/>
        <color theme="1"/>
        <rFont val="Calibri"/>
        <family val="2"/>
      </rPr>
      <t>(Man-Day)</t>
    </r>
    <phoneticPr fontId="1" type="noConversion"/>
  </si>
  <si>
    <r>
      <rPr>
        <sz val="9"/>
        <color theme="1"/>
        <rFont val="맑은 고딕"/>
        <family val="3"/>
        <charset val="129"/>
      </rPr>
      <t>작업</t>
    </r>
    <r>
      <rPr>
        <sz val="9"/>
        <color theme="1"/>
        <rFont val="Calibri"/>
        <family val="2"/>
      </rPr>
      <t xml:space="preserve"> </t>
    </r>
    <r>
      <rPr>
        <sz val="9"/>
        <color theme="1"/>
        <rFont val="맑은 고딕"/>
        <family val="3"/>
        <charset val="129"/>
      </rPr>
      <t>정보</t>
    </r>
  </si>
  <si>
    <r>
      <rPr>
        <sz val="9"/>
        <color theme="1"/>
        <rFont val="맑은 고딕"/>
        <family val="3"/>
        <charset val="129"/>
      </rPr>
      <t>홍길동</t>
    </r>
    <r>
      <rPr>
        <sz val="9"/>
        <color theme="1"/>
        <rFont val="Calibri"/>
        <family val="2"/>
      </rPr>
      <t>,</t>
    </r>
    <r>
      <rPr>
        <sz val="9"/>
        <color theme="1"/>
        <rFont val="맑은 고딕"/>
        <family val="3"/>
        <charset val="129"/>
      </rPr>
      <t>김길동</t>
    </r>
    <r>
      <rPr>
        <sz val="9"/>
        <color theme="1"/>
        <rFont val="Calibri"/>
        <family val="2"/>
      </rPr>
      <t>[50%]</t>
    </r>
    <phoneticPr fontId="1" type="noConversion"/>
  </si>
  <si>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언어</t>
    </r>
  </si>
  <si>
    <r>
      <rPr>
        <sz val="9"/>
        <color theme="1"/>
        <rFont val="맑은 고딕"/>
        <family val="3"/>
        <charset val="129"/>
      </rPr>
      <t>같음</t>
    </r>
  </si>
  <si>
    <r>
      <rPr>
        <sz val="9"/>
        <color theme="1"/>
        <rFont val="맑은 고딕"/>
        <family val="3"/>
        <charset val="129"/>
      </rPr>
      <t>오류</t>
    </r>
    <r>
      <rPr>
        <sz val="9"/>
        <color theme="1"/>
        <rFont val="Calibri"/>
        <family val="2"/>
      </rPr>
      <t xml:space="preserve">! </t>
    </r>
    <r>
      <rPr>
        <sz val="9"/>
        <color theme="1"/>
        <rFont val="맑은 고딕"/>
        <family val="3"/>
        <charset val="129"/>
      </rPr>
      <t>계산된</t>
    </r>
    <r>
      <rPr>
        <sz val="9"/>
        <color theme="1"/>
        <rFont val="Calibri"/>
        <family val="2"/>
      </rPr>
      <t xml:space="preserve"> Total Man-Day</t>
    </r>
    <r>
      <rPr>
        <sz val="9"/>
        <color theme="1"/>
        <rFont val="맑은 고딕"/>
        <family val="3"/>
        <charset val="129"/>
      </rPr>
      <t>가</t>
    </r>
    <r>
      <rPr>
        <sz val="9"/>
        <color theme="1"/>
        <rFont val="Calibri"/>
        <family val="2"/>
      </rPr>
      <t xml:space="preserve"> {} sheet</t>
    </r>
    <r>
      <rPr>
        <sz val="9"/>
        <color theme="1"/>
        <rFont val="맑은 고딕"/>
        <family val="3"/>
        <charset val="129"/>
      </rPr>
      <t>의</t>
    </r>
    <r>
      <rPr>
        <sz val="9"/>
        <color theme="1"/>
        <rFont val="Calibri"/>
        <family val="2"/>
      </rPr>
      <t xml:space="preserve"> Total Man-Day</t>
    </r>
    <r>
      <rPr>
        <sz val="9"/>
        <color theme="1"/>
        <rFont val="맑은 고딕"/>
        <family val="3"/>
        <charset val="129"/>
      </rPr>
      <t>와</t>
    </r>
    <r>
      <rPr>
        <sz val="9"/>
        <color theme="1"/>
        <rFont val="Calibri"/>
        <family val="2"/>
      </rPr>
      <t xml:space="preserve"> </t>
    </r>
    <r>
      <rPr>
        <sz val="9"/>
        <color theme="1"/>
        <rFont val="맑은 고딕"/>
        <family val="3"/>
        <charset val="129"/>
      </rPr>
      <t>다릅니다</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</si>
  <si>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다음</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.\n - </t>
    </r>
    <r>
      <rPr>
        <sz val="9"/>
        <color theme="1"/>
        <rFont val="맑은 고딕"/>
        <family val="3"/>
        <charset val="129"/>
      </rPr>
      <t>파일이</t>
    </r>
    <r>
      <rPr>
        <sz val="9"/>
        <color theme="1"/>
        <rFont val="Calibri"/>
        <family val="2"/>
      </rPr>
      <t xml:space="preserve"> </t>
    </r>
    <r>
      <rPr>
        <sz val="9"/>
        <color theme="1"/>
        <rFont val="맑은 고딕"/>
        <family val="3"/>
        <charset val="129"/>
      </rPr>
      <t>비정상적인</t>
    </r>
    <r>
      <rPr>
        <sz val="9"/>
        <color theme="1"/>
        <rFont val="Calibri"/>
        <family val="2"/>
      </rPr>
      <t xml:space="preserve"> </t>
    </r>
    <r>
      <rPr>
        <sz val="9"/>
        <color theme="1"/>
        <rFont val="맑은 고딕"/>
        <family val="3"/>
        <charset val="129"/>
      </rPr>
      <t>경우</t>
    </r>
    <r>
      <rPr>
        <sz val="9"/>
        <color theme="1"/>
        <rFont val="Calibri"/>
        <family val="2"/>
      </rPr>
      <t>(XLGantt</t>
    </r>
    <r>
      <rPr>
        <sz val="9"/>
        <color theme="1"/>
        <rFont val="맑은 고딕"/>
        <family val="3"/>
        <charset val="129"/>
      </rPr>
      <t>파일이</t>
    </r>
    <r>
      <rPr>
        <sz val="9"/>
        <color theme="1"/>
        <rFont val="Calibri"/>
        <family val="2"/>
      </rPr>
      <t xml:space="preserve"> </t>
    </r>
    <r>
      <rPr>
        <sz val="9"/>
        <color theme="1"/>
        <rFont val="맑은 고딕"/>
        <family val="3"/>
        <charset val="129"/>
      </rPr>
      <t>손상된</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등</t>
    </r>
    <r>
      <rPr>
        <sz val="9"/>
        <color theme="1"/>
        <rFont val="Calibri"/>
        <family val="2"/>
      </rPr>
      <t xml:space="preserve">)\n - XLGantt </t>
    </r>
    <r>
      <rPr>
        <sz val="9"/>
        <color theme="1"/>
        <rFont val="맑은 고딕"/>
        <family val="3"/>
        <charset val="129"/>
      </rPr>
      <t>파일이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엑셀파일인</t>
    </r>
    <r>
      <rPr>
        <sz val="9"/>
        <color theme="1"/>
        <rFont val="Calibri"/>
        <family val="2"/>
      </rPr>
      <t xml:space="preserve"> </t>
    </r>
    <r>
      <rPr>
        <sz val="9"/>
        <color theme="1"/>
        <rFont val="맑은 고딕"/>
        <family val="3"/>
        <charset val="129"/>
      </rPr>
      <t>경우</t>
    </r>
    <r>
      <rPr>
        <sz val="9"/>
        <color theme="1"/>
        <rFont val="Calibri"/>
        <family val="2"/>
      </rPr>
      <t xml:space="preserve">\n\n </t>
    </r>
    <r>
      <rPr>
        <sz val="9"/>
        <color theme="1"/>
        <rFont val="맑은 고딕"/>
        <family val="3"/>
        <charset val="129"/>
      </rPr>
      <t>자세한</t>
    </r>
    <r>
      <rPr>
        <sz val="9"/>
        <color theme="1"/>
        <rFont val="Calibri"/>
        <family val="2"/>
      </rPr>
      <t xml:space="preserve"> </t>
    </r>
    <r>
      <rPr>
        <sz val="9"/>
        <color theme="1"/>
        <rFont val="맑은 고딕"/>
        <family val="3"/>
        <charset val="129"/>
      </rPr>
      <t>원인은</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확인하시기</t>
    </r>
    <r>
      <rPr>
        <sz val="9"/>
        <color theme="1"/>
        <rFont val="Calibri"/>
        <family val="2"/>
      </rPr>
      <t xml:space="preserve"> </t>
    </r>
    <r>
      <rPr>
        <sz val="9"/>
        <color theme="1"/>
        <rFont val="맑은 고딕"/>
        <family val="3"/>
        <charset val="129"/>
      </rPr>
      <t>바랍니다</t>
    </r>
    <r>
      <rPr>
        <sz val="9"/>
        <color theme="1"/>
        <rFont val="Calibri"/>
        <family val="2"/>
      </rPr>
      <t>.</t>
    </r>
  </si>
  <si>
    <r>
      <rPr>
        <sz val="9"/>
        <color theme="1"/>
        <rFont val="맑은 고딕"/>
        <family val="3"/>
        <charset val="129"/>
      </rPr>
      <t>오류</t>
    </r>
    <r>
      <rPr>
        <sz val="9"/>
        <color theme="1"/>
        <rFont val="Calibri"/>
        <family val="2"/>
      </rPr>
      <t xml:space="preserve">, </t>
    </r>
    <r>
      <rPr>
        <sz val="9"/>
        <color theme="1"/>
        <rFont val="맑은 고딕"/>
        <family val="3"/>
        <charset val="129"/>
      </rPr>
      <t>지정할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필드가</t>
    </r>
    <r>
      <rPr>
        <sz val="9"/>
        <color theme="1"/>
        <rFont val="Calibri"/>
        <family val="2"/>
      </rPr>
      <t xml:space="preserve"> </t>
    </r>
    <r>
      <rPr>
        <sz val="9"/>
        <color theme="1"/>
        <rFont val="맑은 고딕"/>
        <family val="3"/>
        <charset val="129"/>
      </rPr>
      <t>있습니다</t>
    </r>
  </si>
  <si>
    <r>
      <rPr>
        <sz val="9"/>
        <color theme="1"/>
        <rFont val="맑은 고딕"/>
        <family val="3"/>
        <charset val="129"/>
      </rPr>
      <t>기타</t>
    </r>
    <phoneticPr fontId="1" type="noConversion"/>
  </si>
  <si>
    <r>
      <rPr>
        <sz val="9"/>
        <color theme="1"/>
        <rFont val="맑은 고딕"/>
        <family val="3"/>
        <charset val="129"/>
      </rPr>
      <t>엑셀</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</si>
  <si>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</si>
  <si>
    <r>
      <rPr>
        <sz val="9"/>
        <color theme="1"/>
        <rFont val="맑은 고딕"/>
        <family val="3"/>
        <charset val="129"/>
      </rPr>
      <t>확장자명</t>
    </r>
  </si>
  <si>
    <r>
      <rPr>
        <sz val="9"/>
        <color theme="1"/>
        <rFont val="맑은 고딕"/>
        <family val="3"/>
        <charset val="129"/>
      </rPr>
      <t>필터</t>
    </r>
    <r>
      <rPr>
        <sz val="9"/>
        <color theme="1"/>
        <rFont val="Calibri"/>
        <family val="2"/>
      </rPr>
      <t xml:space="preserve"> </t>
    </r>
    <r>
      <rPr>
        <sz val="9"/>
        <color theme="1"/>
        <rFont val="맑은 고딕"/>
        <family val="3"/>
        <charset val="129"/>
      </rPr>
      <t>적용</t>
    </r>
  </si>
  <si>
    <r>
      <rPr>
        <sz val="9"/>
        <color theme="1"/>
        <rFont val="맑은 고딕"/>
        <family val="3"/>
        <charset val="129"/>
      </rPr>
      <t>작업</t>
    </r>
    <r>
      <rPr>
        <sz val="9"/>
        <color theme="1"/>
        <rFont val="Calibri"/>
        <family val="2"/>
      </rPr>
      <t xml:space="preserve"> </t>
    </r>
    <r>
      <rPr>
        <sz val="9"/>
        <color theme="1"/>
        <rFont val="맑은 고딕"/>
        <family val="3"/>
        <charset val="129"/>
      </rPr>
      <t>필터</t>
    </r>
  </si>
  <si>
    <r>
      <rPr>
        <sz val="9"/>
        <color theme="1"/>
        <rFont val="맑은 고딕"/>
        <family val="3"/>
        <charset val="129"/>
      </rPr>
      <t>완료일</t>
    </r>
  </si>
  <si>
    <r>
      <rPr>
        <sz val="9"/>
        <color theme="1"/>
        <rFont val="맑은 고딕"/>
        <family val="3"/>
        <charset val="129"/>
      </rPr>
      <t>완료일자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</si>
  <si>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또는</t>
    </r>
    <r>
      <rPr>
        <sz val="9"/>
        <color theme="1"/>
        <rFont val="Calibri"/>
        <family val="2"/>
      </rPr>
      <t xml:space="preserve"> </t>
    </r>
    <r>
      <rPr>
        <sz val="9"/>
        <color theme="1"/>
        <rFont val="맑은 고딕"/>
        <family val="3"/>
        <charset val="129"/>
      </rPr>
      <t>종료일</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</si>
  <si>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</si>
  <si>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완료일자에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</si>
  <si>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한주의</t>
    </r>
    <r>
      <rPr>
        <sz val="9"/>
        <color theme="1"/>
        <rFont val="Calibri"/>
        <family val="2"/>
      </rPr>
      <t xml:space="preserve"> </t>
    </r>
    <r>
      <rPr>
        <sz val="9"/>
        <color theme="1"/>
        <rFont val="맑은 고딕"/>
        <family val="3"/>
        <charset val="129"/>
      </rPr>
      <t>시작요일</t>
    </r>
  </si>
  <si>
    <r>
      <rPr>
        <sz val="9"/>
        <color theme="1"/>
        <rFont val="맑은 고딕"/>
        <family val="3"/>
        <charset val="129"/>
      </rPr>
      <t>컴퓨터</t>
    </r>
    <r>
      <rPr>
        <sz val="9"/>
        <color theme="1"/>
        <rFont val="Calibri"/>
        <family val="2"/>
      </rPr>
      <t xml:space="preserve"> O/S</t>
    </r>
    <r>
      <rPr>
        <sz val="9"/>
        <color theme="1"/>
        <rFont val="맑은 고딕"/>
        <family val="3"/>
        <charset val="129"/>
      </rPr>
      <t>의</t>
    </r>
    <r>
      <rPr>
        <sz val="9"/>
        <color theme="1"/>
        <rFont val="Calibri"/>
        <family val="2"/>
      </rPr>
      <t xml:space="preserve"> </t>
    </r>
    <r>
      <rPr>
        <sz val="9"/>
        <color theme="1"/>
        <rFont val="맑은 고딕"/>
        <family val="3"/>
        <charset val="129"/>
      </rPr>
      <t>언어설정을</t>
    </r>
    <r>
      <rPr>
        <sz val="9"/>
        <color theme="1"/>
        <rFont val="Calibri"/>
        <family val="2"/>
      </rPr>
      <t xml:space="preserve"> </t>
    </r>
    <r>
      <rPr>
        <sz val="9"/>
        <color theme="1"/>
        <rFont val="맑은 고딕"/>
        <family val="3"/>
        <charset val="129"/>
      </rPr>
      <t>따름</t>
    </r>
  </si>
  <si>
    <r>
      <rPr>
        <sz val="9"/>
        <color theme="1"/>
        <rFont val="맑은 고딕"/>
        <family val="3"/>
        <charset val="129"/>
      </rPr>
      <t>금</t>
    </r>
  </si>
  <si>
    <r>
      <t>Source</t>
    </r>
    <r>
      <rPr>
        <sz val="9"/>
        <color theme="1"/>
        <rFont val="맑은 고딕"/>
        <family val="3"/>
        <charset val="129"/>
      </rPr>
      <t>파일</t>
    </r>
    <r>
      <rPr>
        <sz val="9"/>
        <color theme="1"/>
        <rFont val="Calibri"/>
        <family val="2"/>
      </rPr>
      <t>(</t>
    </r>
    <r>
      <rPr>
        <sz val="9"/>
        <color theme="1"/>
        <rFont val="맑은 고딕"/>
        <family val="3"/>
        <charset val="129"/>
      </rPr>
      <t>가져올</t>
    </r>
    <r>
      <rPr>
        <sz val="9"/>
        <color theme="1"/>
        <rFont val="Calibri"/>
        <family val="2"/>
      </rPr>
      <t xml:space="preserve"> </t>
    </r>
    <r>
      <rPr>
        <sz val="9"/>
        <color theme="1"/>
        <rFont val="맑은 고딕"/>
        <family val="3"/>
        <charset val="129"/>
      </rPr>
      <t>파일</t>
    </r>
    <r>
      <rPr>
        <sz val="9"/>
        <color theme="1"/>
        <rFont val="Calibri"/>
        <family val="2"/>
      </rPr>
      <t xml:space="preserve"> )</t>
    </r>
  </si>
  <si>
    <r>
      <rPr>
        <sz val="9"/>
        <color theme="1"/>
        <rFont val="맑은 고딕"/>
        <family val="3"/>
        <charset val="129"/>
      </rPr>
      <t>시작날짜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</si>
  <si>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Gantt chart</t>
    </r>
    <r>
      <rPr>
        <sz val="9"/>
        <color theme="1"/>
        <rFont val="맑은 고딕"/>
        <family val="3"/>
        <charset val="129"/>
      </rPr>
      <t>표시</t>
    </r>
    <r>
      <rPr>
        <sz val="9"/>
        <color theme="1"/>
        <rFont val="Calibri"/>
        <family val="2"/>
      </rPr>
      <t xml:space="preserve"> </t>
    </r>
    <r>
      <rPr>
        <sz val="9"/>
        <color theme="1"/>
        <rFont val="맑은 고딕"/>
        <family val="3"/>
        <charset val="129"/>
      </rPr>
      <t>방법</t>
    </r>
  </si>
  <si>
    <r>
      <rPr>
        <sz val="9"/>
        <color theme="1"/>
        <rFont val="맑은 고딕"/>
        <family val="3"/>
        <charset val="129"/>
      </rPr>
      <t>간트차트</t>
    </r>
    <r>
      <rPr>
        <sz val="9"/>
        <color theme="1"/>
        <rFont val="Calibri"/>
        <family val="2"/>
      </rPr>
      <t xml:space="preserve"> </t>
    </r>
    <r>
      <rPr>
        <sz val="9"/>
        <color theme="1"/>
        <rFont val="맑은 고딕"/>
        <family val="3"/>
        <charset val="129"/>
      </rPr>
      <t>그룹작업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</si>
  <si>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진척율선</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</si>
  <si>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하위작업</t>
    </r>
    <r>
      <rPr>
        <sz val="9"/>
        <color theme="1"/>
        <rFont val="Calibri"/>
        <family val="2"/>
      </rPr>
      <t>Bar</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</si>
  <si>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타이틀</t>
    </r>
    <phoneticPr fontId="1" type="noConversion"/>
  </si>
  <si>
    <r>
      <t xml:space="preserve">Gantt Chart </t>
    </r>
    <r>
      <rPr>
        <sz val="9"/>
        <color theme="1"/>
        <rFont val="맑은 고딕"/>
        <family val="3"/>
        <charset val="129"/>
      </rPr>
      <t>보기</t>
    </r>
    <r>
      <rPr>
        <sz val="9"/>
        <color theme="1"/>
        <rFont val="Calibri"/>
        <family val="2"/>
      </rPr>
      <t xml:space="preserve"> </t>
    </r>
    <r>
      <rPr>
        <sz val="9"/>
        <color theme="1"/>
        <rFont val="맑은 고딕"/>
        <family val="3"/>
        <charset val="129"/>
      </rPr>
      <t>형식</t>
    </r>
  </si>
  <si>
    <r>
      <t xml:space="preserve">Gantt Chart </t>
    </r>
    <r>
      <rPr>
        <sz val="9"/>
        <color theme="1"/>
        <rFont val="맑은 고딕"/>
        <family val="3"/>
        <charset val="129"/>
      </rPr>
      <t>축소</t>
    </r>
    <r>
      <rPr>
        <sz val="9"/>
        <color theme="1"/>
        <rFont val="Calibri"/>
        <family val="2"/>
      </rPr>
      <t>/</t>
    </r>
    <r>
      <rPr>
        <sz val="9"/>
        <color theme="1"/>
        <rFont val="맑은 고딕"/>
        <family val="3"/>
        <charset val="129"/>
      </rPr>
      <t>확대</t>
    </r>
    <r>
      <rPr>
        <sz val="9"/>
        <color theme="1"/>
        <rFont val="Calibri"/>
        <family val="2"/>
      </rPr>
      <t xml:space="preserve"> </t>
    </r>
    <r>
      <rPr>
        <sz val="9"/>
        <color theme="1"/>
        <rFont val="맑은 고딕"/>
        <family val="3"/>
        <charset val="129"/>
      </rPr>
      <t>비율</t>
    </r>
    <r>
      <rPr>
        <sz val="9"/>
        <color theme="1"/>
        <rFont val="Calibri"/>
        <family val="2"/>
      </rPr>
      <t>(</t>
    </r>
    <r>
      <rPr>
        <sz val="9"/>
        <color theme="1"/>
        <rFont val="맑은 고딕"/>
        <family val="3"/>
        <charset val="129"/>
      </rPr>
      <t>최대</t>
    </r>
    <r>
      <rPr>
        <sz val="9"/>
        <color theme="1"/>
        <rFont val="Calibri"/>
        <family val="2"/>
      </rPr>
      <t xml:space="preserve"> 999%)</t>
    </r>
    <phoneticPr fontId="1" type="noConversion"/>
  </si>
  <si>
    <r>
      <rPr>
        <sz val="9"/>
        <color theme="1"/>
        <rFont val="맑은 고딕"/>
        <family val="3"/>
        <charset val="129"/>
      </rPr>
      <t>일반</t>
    </r>
    <phoneticPr fontId="1" type="noConversion"/>
  </si>
  <si>
    <r>
      <rPr>
        <sz val="9"/>
        <color theme="1"/>
        <rFont val="맑은 고딕"/>
        <family val="3"/>
        <charset val="129"/>
      </rPr>
      <t>간단</t>
    </r>
    <r>
      <rPr>
        <sz val="9"/>
        <color theme="1"/>
        <rFont val="Calibri"/>
        <family val="2"/>
      </rPr>
      <t xml:space="preserve"> </t>
    </r>
    <r>
      <rPr>
        <sz val="9"/>
        <color theme="1"/>
        <rFont val="맑은 고딕"/>
        <family val="3"/>
        <charset val="129"/>
      </rPr>
      <t>사용법</t>
    </r>
  </si>
  <si>
    <r>
      <rPr>
        <sz val="9"/>
        <color theme="1"/>
        <rFont val="맑은 고딕"/>
        <family val="3"/>
        <charset val="129"/>
      </rPr>
      <t>그린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</si>
  <si>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</si>
  <si>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그룹으로</t>
    </r>
    <r>
      <rPr>
        <sz val="9"/>
        <color theme="1"/>
        <rFont val="Calibri"/>
        <family val="2"/>
      </rPr>
      <t xml:space="preserve"> </t>
    </r>
    <r>
      <rPr>
        <sz val="9"/>
        <color theme="1"/>
        <rFont val="맑은 고딕"/>
        <family val="3"/>
        <charset val="129"/>
      </rPr>
      <t>묶기</t>
    </r>
    <r>
      <rPr>
        <sz val="9"/>
        <color theme="1"/>
        <rFont val="Calibri"/>
        <family val="2"/>
      </rPr>
      <t>(</t>
    </r>
    <r>
      <rPr>
        <sz val="9"/>
        <color theme="1"/>
        <rFont val="맑은 고딕"/>
        <family val="3"/>
        <charset val="129"/>
      </rPr>
      <t>최대</t>
    </r>
    <r>
      <rPr>
        <sz val="9"/>
        <color theme="1"/>
        <rFont val="Calibri"/>
        <family val="2"/>
      </rPr>
      <t xml:space="preserve"> 8 </t>
    </r>
    <r>
      <rPr>
        <sz val="9"/>
        <color theme="1"/>
        <rFont val="맑은 고딕"/>
        <family val="3"/>
        <charset val="129"/>
      </rPr>
      <t>레벨</t>
    </r>
    <r>
      <rPr>
        <sz val="9"/>
        <color theme="1"/>
        <rFont val="Calibri"/>
        <family val="2"/>
      </rPr>
      <t>)</t>
    </r>
    <phoneticPr fontId="1" type="noConversion"/>
  </si>
  <si>
    <r>
      <rPr>
        <sz val="9"/>
        <color theme="1"/>
        <rFont val="맑은 고딕"/>
        <family val="3"/>
        <charset val="129"/>
      </rPr>
      <t>도움말</t>
    </r>
    <phoneticPr fontId="1" type="noConversion"/>
  </si>
  <si>
    <r>
      <rPr>
        <sz val="9"/>
        <color theme="1"/>
        <rFont val="맑은 고딕"/>
        <family val="3"/>
        <charset val="129"/>
      </rPr>
      <t>도움말</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t>
    </r>
    <r>
      <rPr>
        <sz val="9"/>
        <color theme="1"/>
        <rFont val="Calibri"/>
        <family val="2"/>
      </rPr>
      <t xml:space="preserve"> </t>
    </r>
    <r>
      <rPr>
        <sz val="9"/>
        <color theme="1"/>
        <rFont val="맑은 고딕"/>
        <family val="3"/>
        <charset val="129"/>
      </rPr>
      <t>다운로드</t>
    </r>
    <phoneticPr fontId="1" type="noConversion"/>
  </si>
  <si>
    <r>
      <rPr>
        <sz val="9"/>
        <color theme="1"/>
        <rFont val="맑은 고딕"/>
        <family val="3"/>
        <charset val="129"/>
      </rPr>
      <t>사용법</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</si>
  <si>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소스파일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파일</t>
    </r>
    <r>
      <rPr>
        <sz val="9"/>
        <color theme="1"/>
        <rFont val="Calibri"/>
        <family val="2"/>
      </rPr>
      <t>(</t>
    </r>
    <r>
      <rPr>
        <sz val="9"/>
        <color theme="1"/>
        <rFont val="맑은 고딕"/>
        <family val="3"/>
        <charset val="129"/>
      </rPr>
      <t>타겟파일</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언어가</t>
    </r>
    <r>
      <rPr>
        <sz val="9"/>
        <color theme="1"/>
        <rFont val="Calibri"/>
        <family val="2"/>
      </rPr>
      <t xml:space="preserve"> </t>
    </r>
    <r>
      <rPr>
        <sz val="9"/>
        <color theme="1"/>
        <rFont val="맑은 고딕"/>
        <family val="3"/>
        <charset val="129"/>
      </rPr>
      <t>다르면</t>
    </r>
    <r>
      <rPr>
        <sz val="9"/>
        <color theme="1"/>
        <rFont val="Calibri"/>
        <family val="2"/>
      </rPr>
      <t xml:space="preserve"> Import</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</si>
  <si>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작업명으로</t>
    </r>
    <r>
      <rPr>
        <sz val="9"/>
        <color theme="1"/>
        <rFont val="Calibri"/>
        <family val="2"/>
      </rPr>
      <t xml:space="preserve"> </t>
    </r>
    <r>
      <rPr>
        <sz val="9"/>
        <color theme="1"/>
        <rFont val="맑은 고딕"/>
        <family val="3"/>
        <charset val="129"/>
      </rPr>
      <t>하위</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자동지정을</t>
    </r>
    <r>
      <rPr>
        <sz val="9"/>
        <color theme="1"/>
        <rFont val="Calibri"/>
        <family val="2"/>
      </rPr>
      <t xml:space="preserve"> </t>
    </r>
    <r>
      <rPr>
        <sz val="9"/>
        <color theme="1"/>
        <rFont val="맑은 고딕"/>
        <family val="3"/>
        <charset val="129"/>
      </rPr>
      <t>선택한</t>
    </r>
    <r>
      <rPr>
        <sz val="9"/>
        <color theme="1"/>
        <rFont val="Calibri"/>
        <family val="2"/>
      </rPr>
      <t xml:space="preserve"> </t>
    </r>
    <r>
      <rPr>
        <sz val="9"/>
        <color theme="1"/>
        <rFont val="맑은 고딕"/>
        <family val="3"/>
        <charset val="129"/>
      </rPr>
      <t>경우에는</t>
    </r>
    <r>
      <rPr>
        <sz val="9"/>
        <color theme="1"/>
        <rFont val="Calibri"/>
        <family val="2"/>
      </rPr>
      <t xml:space="preserve"> </t>
    </r>
    <r>
      <rPr>
        <sz val="9"/>
        <color theme="1"/>
        <rFont val="맑은 고딕"/>
        <family val="3"/>
        <charset val="129"/>
      </rPr>
      <t>상위의</t>
    </r>
    <r>
      <rPr>
        <sz val="9"/>
        <color theme="1"/>
        <rFont val="Calibri"/>
        <family val="2"/>
      </rPr>
      <t xml:space="preserve"> </t>
    </r>
    <r>
      <rPr>
        <sz val="9"/>
        <color theme="1"/>
        <rFont val="맑은 고딕"/>
        <family val="3"/>
        <charset val="129"/>
      </rPr>
      <t>기본경로를</t>
    </r>
    <r>
      <rPr>
        <sz val="9"/>
        <color theme="1"/>
        <rFont val="Calibri"/>
        <family val="2"/>
      </rPr>
      <t xml:space="preserve"> </t>
    </r>
    <r>
      <rPr>
        <sz val="9"/>
        <color theme="1"/>
        <rFont val="맑은 고딕"/>
        <family val="3"/>
        <charset val="129"/>
      </rPr>
      <t>설정해야</t>
    </r>
    <r>
      <rPr>
        <sz val="9"/>
        <color theme="1"/>
        <rFont val="Calibri"/>
        <family val="2"/>
      </rPr>
      <t xml:space="preserve"> </t>
    </r>
    <r>
      <rPr>
        <sz val="9"/>
        <color theme="1"/>
        <rFont val="맑은 고딕"/>
        <family val="3"/>
        <charset val="129"/>
      </rPr>
      <t>합니다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</si>
  <si>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실제시작일만</t>
    </r>
    <r>
      <rPr>
        <sz val="9"/>
        <color theme="1"/>
        <rFont val="Calibri"/>
        <family val="2"/>
      </rPr>
      <t xml:space="preserve"> </t>
    </r>
    <r>
      <rPr>
        <sz val="9"/>
        <color theme="1"/>
        <rFont val="맑은 고딕"/>
        <family val="3"/>
        <charset val="129"/>
      </rPr>
      <t>입력하고</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비워놓으면</t>
    </r>
    <r>
      <rPr>
        <sz val="9"/>
        <color theme="1"/>
        <rFont val="Calibri"/>
        <family val="2"/>
      </rPr>
      <t xml:space="preserve"> </t>
    </r>
    <r>
      <rPr>
        <sz val="9"/>
        <color theme="1"/>
        <rFont val="맑은 고딕"/>
        <family val="3"/>
        <charset val="129"/>
      </rPr>
      <t>완료율을</t>
    </r>
    <r>
      <rPr>
        <sz val="9"/>
        <color theme="1"/>
        <rFont val="Calibri"/>
        <family val="2"/>
      </rPr>
      <t xml:space="preserve"> 100%</t>
    </r>
    <r>
      <rPr>
        <sz val="9"/>
        <color theme="1"/>
        <rFont val="맑은 고딕"/>
        <family val="3"/>
        <charset val="129"/>
      </rPr>
      <t>로</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</si>
  <si>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기능을</t>
    </r>
    <r>
      <rPr>
        <sz val="9"/>
        <color theme="1"/>
        <rFont val="Calibri"/>
        <family val="2"/>
      </rPr>
      <t xml:space="preserve"> </t>
    </r>
    <r>
      <rPr>
        <sz val="9"/>
        <color theme="1"/>
        <rFont val="맑은 고딕"/>
        <family val="3"/>
        <charset val="129"/>
      </rPr>
      <t>간단히</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익히고</t>
    </r>
    <r>
      <rPr>
        <sz val="9"/>
        <color theme="1"/>
        <rFont val="Calibri"/>
        <family val="2"/>
      </rPr>
      <t xml:space="preserve"> </t>
    </r>
    <r>
      <rPr>
        <sz val="9"/>
        <color theme="1"/>
        <rFont val="맑은 고딕"/>
        <family val="3"/>
        <charset val="129"/>
      </rPr>
      <t>싶으면</t>
    </r>
    <r>
      <rPr>
        <sz val="9"/>
        <color theme="1"/>
        <rFont val="Calibri"/>
        <family val="2"/>
      </rPr>
      <t xml:space="preserve"> “</t>
    </r>
    <r>
      <rPr>
        <sz val="9"/>
        <color theme="1"/>
        <rFont val="맑은 고딕"/>
        <family val="3"/>
        <charset val="129"/>
      </rPr>
      <t>간단</t>
    </r>
    <r>
      <rPr>
        <sz val="9"/>
        <color theme="1"/>
        <rFont val="Calibri"/>
        <family val="2"/>
      </rPr>
      <t xml:space="preserve"> </t>
    </r>
    <r>
      <rPr>
        <sz val="9"/>
        <color theme="1"/>
        <rFont val="맑은 고딕"/>
        <family val="3"/>
        <charset val="129"/>
      </rPr>
      <t>사용법</t>
    </r>
    <r>
      <rPr>
        <sz val="9"/>
        <color theme="1"/>
        <rFont val="Calibri"/>
        <family val="2"/>
      </rPr>
      <t>”</t>
    </r>
    <r>
      <rPr>
        <sz val="9"/>
        <color theme="1"/>
        <rFont val="맑은 고딕"/>
        <family val="3"/>
        <charset val="129"/>
      </rPr>
      <t>을</t>
    </r>
    <r>
      <rPr>
        <sz val="9"/>
        <color theme="1"/>
        <rFont val="Calibri"/>
        <family val="2"/>
      </rPr>
      <t xml:space="preserve"> </t>
    </r>
    <r>
      <rPr>
        <sz val="9"/>
        <color theme="1"/>
        <rFont val="맑은 고딕"/>
        <family val="3"/>
        <charset val="129"/>
      </rPr>
      <t>참고한다</t>
    </r>
  </si>
  <si>
    <r>
      <rPr>
        <sz val="9"/>
        <color theme="1"/>
        <rFont val="맑은 고딕"/>
        <family val="3"/>
        <charset val="129"/>
      </rPr>
      <t>가져오기</t>
    </r>
  </si>
  <si>
    <r>
      <rPr>
        <sz val="9"/>
        <color theme="1"/>
        <rFont val="맑은 고딕"/>
        <family val="3"/>
        <charset val="129"/>
      </rPr>
      <t>프로그램</t>
    </r>
    <r>
      <rPr>
        <sz val="9"/>
        <color theme="1"/>
        <rFont val="Calibri"/>
        <family val="2"/>
      </rPr>
      <t xml:space="preserve"> </t>
    </r>
    <r>
      <rPr>
        <sz val="9"/>
        <color theme="1"/>
        <rFont val="맑은 고딕"/>
        <family val="3"/>
        <charset val="129"/>
      </rPr>
      <t>시작</t>
    </r>
    <r>
      <rPr>
        <sz val="9"/>
        <color theme="1"/>
        <rFont val="Calibri"/>
        <family val="2"/>
      </rPr>
      <t xml:space="preserve"> </t>
    </r>
    <r>
      <rPr>
        <sz val="9"/>
        <color theme="1"/>
        <rFont val="맑은 고딕"/>
        <family val="3"/>
        <charset val="129"/>
      </rPr>
      <t>시</t>
    </r>
    <r>
      <rPr>
        <sz val="9"/>
        <color theme="1"/>
        <rFont val="Calibri"/>
        <family val="2"/>
      </rPr>
      <t xml:space="preserve"> "ServerData" </t>
    </r>
    <r>
      <rPr>
        <sz val="9"/>
        <color theme="1"/>
        <rFont val="맑은 고딕"/>
        <family val="3"/>
        <charset val="129"/>
      </rPr>
      <t>시트의</t>
    </r>
    <r>
      <rPr>
        <sz val="9"/>
        <color theme="1"/>
        <rFont val="Calibri"/>
        <family val="2"/>
      </rPr>
      <t xml:space="preserve"> </t>
    </r>
    <r>
      <rPr>
        <sz val="9"/>
        <color theme="1"/>
        <rFont val="맑은 고딕"/>
        <family val="3"/>
        <charset val="129"/>
      </rPr>
      <t>데이터</t>
    </r>
    <r>
      <rPr>
        <sz val="9"/>
        <color theme="1"/>
        <rFont val="Calibri"/>
        <family val="2"/>
      </rPr>
      <t xml:space="preserve"> </t>
    </r>
    <r>
      <rPr>
        <sz val="9"/>
        <color theme="1"/>
        <rFont val="맑은 고딕"/>
        <family val="3"/>
        <charset val="129"/>
      </rPr>
      <t>가져오기</t>
    </r>
    <phoneticPr fontId="1" type="noConversion"/>
  </si>
  <si>
    <r>
      <rPr>
        <sz val="9"/>
        <color theme="1"/>
        <rFont val="맑은 고딕"/>
        <family val="3"/>
        <charset val="129"/>
      </rPr>
      <t>일반</t>
    </r>
    <r>
      <rPr>
        <sz val="9"/>
        <color theme="1"/>
        <rFont val="Calibri"/>
        <family val="2"/>
      </rPr>
      <t xml:space="preserve"> Excel </t>
    </r>
    <r>
      <rPr>
        <sz val="9"/>
        <color theme="1"/>
        <rFont val="맑은 고딕"/>
        <family val="3"/>
        <charset val="129"/>
      </rPr>
      <t>파일</t>
    </r>
  </si>
  <si>
    <r>
      <rPr>
        <sz val="9"/>
        <color theme="1"/>
        <rFont val="맑은 고딕"/>
        <family val="3"/>
        <charset val="129"/>
      </rPr>
      <t>기존</t>
    </r>
    <r>
      <rPr>
        <sz val="9"/>
        <color theme="1"/>
        <rFont val="Calibri"/>
        <family val="2"/>
      </rPr>
      <t xml:space="preserve">Data </t>
    </r>
    <r>
      <rPr>
        <sz val="9"/>
        <color theme="1"/>
        <rFont val="맑은 고딕"/>
        <family val="3"/>
        <charset val="129"/>
      </rPr>
      <t>지우고</t>
    </r>
    <r>
      <rPr>
        <sz val="9"/>
        <color theme="1"/>
        <rFont val="Calibri"/>
        <family val="2"/>
      </rPr>
      <t xml:space="preserve"> </t>
    </r>
    <r>
      <rPr>
        <sz val="9"/>
        <color theme="1"/>
        <rFont val="맑은 고딕"/>
        <family val="3"/>
        <charset val="129"/>
      </rPr>
      <t>가져오기</t>
    </r>
  </si>
  <si>
    <r>
      <rPr>
        <sz val="9"/>
        <color theme="1"/>
        <rFont val="맑은 고딕"/>
        <family val="3"/>
        <charset val="129"/>
      </rPr>
      <t>기존</t>
    </r>
    <r>
      <rPr>
        <sz val="9"/>
        <color theme="1"/>
        <rFont val="Calibri"/>
        <family val="2"/>
      </rPr>
      <t xml:space="preserve">Data </t>
    </r>
    <r>
      <rPr>
        <sz val="9"/>
        <color theme="1"/>
        <rFont val="맑은 고딕"/>
        <family val="3"/>
        <charset val="129"/>
      </rPr>
      <t>아래에</t>
    </r>
    <r>
      <rPr>
        <sz val="9"/>
        <color theme="1"/>
        <rFont val="Calibri"/>
        <family val="2"/>
      </rPr>
      <t xml:space="preserve"> </t>
    </r>
    <r>
      <rPr>
        <sz val="9"/>
        <color theme="1"/>
        <rFont val="맑은 고딕"/>
        <family val="3"/>
        <charset val="129"/>
      </rPr>
      <t>추가하기</t>
    </r>
  </si>
  <si>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A1</t>
    </r>
    <r>
      <rPr>
        <sz val="9"/>
        <color theme="1"/>
        <rFont val="맑은 고딕"/>
        <family val="3"/>
        <charset val="129"/>
      </rPr>
      <t>셀에는</t>
    </r>
    <r>
      <rPr>
        <sz val="9"/>
        <color theme="1"/>
        <rFont val="Calibri"/>
        <family val="2"/>
      </rPr>
      <t xml:space="preserve"> "xlgantt_reserved"</t>
    </r>
    <r>
      <rPr>
        <sz val="9"/>
        <color theme="1"/>
        <rFont val="맑은 고딕"/>
        <family val="3"/>
        <charset val="129"/>
      </rPr>
      <t>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</si>
  <si>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rPr>
        <sz val="9"/>
        <color theme="1"/>
        <rFont val="맑은 고딕"/>
        <family val="3"/>
        <charset val="129"/>
      </rPr>
      <t>가져오는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포맷이</t>
    </r>
    <r>
      <rPr>
        <sz val="9"/>
        <color theme="1"/>
        <rFont val="Calibri"/>
        <family val="2"/>
      </rPr>
      <t xml:space="preserve"> </t>
    </r>
    <r>
      <rPr>
        <sz val="9"/>
        <color theme="1"/>
        <rFont val="맑은 고딕"/>
        <family val="3"/>
        <charset val="129"/>
      </rPr>
      <t>잘못되었습니다</t>
    </r>
    <r>
      <rPr>
        <sz val="9"/>
        <color theme="1"/>
        <rFont val="Calibri"/>
        <family val="2"/>
      </rPr>
      <t>. A2</t>
    </r>
    <r>
      <rPr>
        <sz val="9"/>
        <color theme="1"/>
        <rFont val="맑은 고딕"/>
        <family val="3"/>
        <charset val="129"/>
      </rPr>
      <t>셀에는</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결과가</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</si>
  <si>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</si>
  <si>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서버에서</t>
    </r>
    <r>
      <rPr>
        <sz val="9"/>
        <color theme="1"/>
        <rFont val="Calibri"/>
        <family val="2"/>
      </rPr>
      <t>\n</t>
    </r>
    <r>
      <rPr>
        <sz val="9"/>
        <color theme="1"/>
        <rFont val="맑은 고딕"/>
        <family val="3"/>
        <charset val="129"/>
      </rPr>
      <t>가져오기</t>
    </r>
    <phoneticPr fontId="1" type="noConversion"/>
  </si>
  <si>
    <r>
      <rPr>
        <sz val="9"/>
        <color theme="1"/>
        <rFont val="맑은 고딕"/>
        <family val="3"/>
        <charset val="129"/>
      </rPr>
      <t>가져오기가</t>
    </r>
    <r>
      <rPr>
        <sz val="9"/>
        <color theme="1"/>
        <rFont val="Calibri"/>
        <family val="2"/>
      </rPr>
      <t xml:space="preserve"> </t>
    </r>
    <r>
      <rPr>
        <sz val="9"/>
        <color theme="1"/>
        <rFont val="맑은 고딕"/>
        <family val="3"/>
        <charset val="129"/>
      </rPr>
      <t>이미</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</si>
  <si>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지우고</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_x000D_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</si>
  <si>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이</t>
    </r>
    <r>
      <rPr>
        <sz val="9"/>
        <color theme="1"/>
        <rFont val="Calibri"/>
        <family val="2"/>
      </rPr>
      <t xml:space="preserve"> XLGantt</t>
    </r>
    <r>
      <rPr>
        <sz val="9"/>
        <color theme="1"/>
        <rFont val="맑은 고딕"/>
        <family val="3"/>
        <charset val="129"/>
      </rPr>
      <t>파일에</t>
    </r>
    <r>
      <rPr>
        <sz val="9"/>
        <color theme="1"/>
        <rFont val="Calibri"/>
        <family val="2"/>
      </rPr>
      <t xml:space="preserve"> </t>
    </r>
    <r>
      <rPr>
        <sz val="9"/>
        <color theme="1"/>
        <rFont val="맑은 고딕"/>
        <family val="3"/>
        <charset val="129"/>
      </rPr>
      <t>있는</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그대로</t>
    </r>
    <r>
      <rPr>
        <sz val="9"/>
        <color theme="1"/>
        <rFont val="Calibri"/>
        <family val="2"/>
      </rPr>
      <t xml:space="preserve"> </t>
    </r>
    <r>
      <rPr>
        <sz val="9"/>
        <color theme="1"/>
        <rFont val="맑은 고딕"/>
        <family val="3"/>
        <charset val="129"/>
      </rPr>
      <t>두고</t>
    </r>
    <r>
      <rPr>
        <sz val="9"/>
        <color theme="1"/>
        <rFont val="Calibri"/>
        <family val="2"/>
      </rPr>
      <t xml:space="preserve"> </t>
    </r>
    <r>
      <rPr>
        <sz val="9"/>
        <color theme="1"/>
        <rFont val="맑은 고딕"/>
        <family val="3"/>
        <charset val="129"/>
      </rPr>
      <t>맨</t>
    </r>
    <r>
      <rPr>
        <sz val="9"/>
        <color theme="1"/>
        <rFont val="Calibri"/>
        <family val="2"/>
      </rPr>
      <t xml:space="preserve"> </t>
    </r>
    <r>
      <rPr>
        <sz val="9"/>
        <color theme="1"/>
        <rFont val="맑은 고딕"/>
        <family val="3"/>
        <charset val="129"/>
      </rPr>
      <t>아래에</t>
    </r>
    <r>
      <rPr>
        <sz val="9"/>
        <color theme="1"/>
        <rFont val="Calibri"/>
        <family val="2"/>
      </rPr>
      <t xml:space="preserve"> </t>
    </r>
    <r>
      <rPr>
        <sz val="9"/>
        <color theme="1"/>
        <rFont val="맑은 고딕"/>
        <family val="3"/>
        <charset val="129"/>
      </rPr>
      <t>새로운</t>
    </r>
    <r>
      <rPr>
        <sz val="9"/>
        <color theme="1"/>
        <rFont val="Calibri"/>
        <family val="2"/>
      </rPr>
      <t xml:space="preserve"> Data</t>
    </r>
    <r>
      <rPr>
        <sz val="9"/>
        <color theme="1"/>
        <rFont val="맑은 고딕"/>
        <family val="3"/>
        <charset val="129"/>
      </rPr>
      <t>를</t>
    </r>
    <r>
      <rPr>
        <sz val="9"/>
        <color theme="1"/>
        <rFont val="Calibri"/>
        <family val="2"/>
      </rPr>
      <t xml:space="preserve"> </t>
    </r>
    <r>
      <rPr>
        <sz val="9"/>
        <color theme="1"/>
        <rFont val="맑은 고딕"/>
        <family val="3"/>
        <charset val="129"/>
      </rPr>
      <t>가져와서</t>
    </r>
    <r>
      <rPr>
        <sz val="9"/>
        <color theme="1"/>
        <rFont val="Calibri"/>
        <family val="2"/>
      </rPr>
      <t xml:space="preserve"> </t>
    </r>
    <r>
      <rPr>
        <sz val="9"/>
        <color theme="1"/>
        <rFont val="맑은 고딕"/>
        <family val="3"/>
        <charset val="129"/>
      </rPr>
      <t>붙여</t>
    </r>
    <r>
      <rPr>
        <sz val="9"/>
        <color theme="1"/>
        <rFont val="Calibri"/>
        <family val="2"/>
      </rPr>
      <t xml:space="preserve"> </t>
    </r>
    <r>
      <rPr>
        <sz val="9"/>
        <color theme="1"/>
        <rFont val="맑은 고딕"/>
        <family val="3"/>
        <charset val="129"/>
      </rPr>
      <t>넣기</t>
    </r>
  </si>
  <si>
    <r>
      <rPr>
        <sz val="9"/>
        <color theme="1"/>
        <rFont val="맑은 고딕"/>
        <family val="3"/>
        <charset val="129"/>
      </rPr>
      <t>가져오기</t>
    </r>
    <r>
      <rPr>
        <sz val="9"/>
        <color theme="1"/>
        <rFont val="Calibri"/>
        <family val="2"/>
      </rPr>
      <t xml:space="preserve"> </t>
    </r>
    <r>
      <rPr>
        <sz val="9"/>
        <color theme="1"/>
        <rFont val="맑은 고딕"/>
        <family val="3"/>
        <charset val="129"/>
      </rPr>
      <t>옵션</t>
    </r>
  </si>
  <si>
    <r>
      <rPr>
        <sz val="9"/>
        <color theme="1"/>
        <rFont val="맑은 고딕"/>
        <family val="3"/>
        <charset val="129"/>
      </rPr>
      <t>가져오기</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.\n</t>
    </r>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행수</t>
    </r>
    <r>
      <rPr>
        <sz val="9"/>
        <color theme="1"/>
        <rFont val="Calibri"/>
        <family val="2"/>
      </rPr>
      <t xml:space="preserve"> : </t>
    </r>
  </si>
  <si>
    <r>
      <rPr>
        <sz val="9"/>
        <color theme="1"/>
        <rFont val="맑은 고딕"/>
        <family val="3"/>
        <charset val="129"/>
      </rPr>
      <t>기존</t>
    </r>
    <r>
      <rPr>
        <sz val="9"/>
        <color theme="1"/>
        <rFont val="Calibri"/>
        <family val="2"/>
      </rPr>
      <t>Data</t>
    </r>
    <r>
      <rPr>
        <sz val="9"/>
        <color theme="1"/>
        <rFont val="맑은 고딕"/>
        <family val="3"/>
        <charset val="129"/>
      </rPr>
      <t>에</t>
    </r>
    <r>
      <rPr>
        <sz val="9"/>
        <color theme="1"/>
        <rFont val="Calibri"/>
        <family val="2"/>
      </rPr>
      <t xml:space="preserve"> </t>
    </r>
    <r>
      <rPr>
        <sz val="9"/>
        <color theme="1"/>
        <rFont val="맑은 고딕"/>
        <family val="3"/>
        <charset val="129"/>
      </rPr>
      <t>추가하기</t>
    </r>
  </si>
  <si>
    <r>
      <rPr>
        <sz val="9"/>
        <color theme="1"/>
        <rFont val="맑은 고딕"/>
        <family val="3"/>
        <charset val="129"/>
      </rPr>
      <t>파일</t>
    </r>
    <r>
      <rPr>
        <sz val="9"/>
        <color theme="1"/>
        <rFont val="Calibri"/>
        <family val="2"/>
      </rPr>
      <t xml:space="preserve"> </t>
    </r>
    <r>
      <rPr>
        <sz val="9"/>
        <color theme="1"/>
        <rFont val="맑은 고딕"/>
        <family val="3"/>
        <charset val="129"/>
      </rPr>
      <t>가져오기</t>
    </r>
  </si>
  <si>
    <r>
      <rPr>
        <sz val="9"/>
        <color theme="1"/>
        <rFont val="맑은 고딕"/>
        <family val="3"/>
        <charset val="129"/>
      </rPr>
      <t>다른</t>
    </r>
    <r>
      <rPr>
        <sz val="9"/>
        <color theme="1"/>
        <rFont val="Calibri"/>
        <family val="2"/>
      </rPr>
      <t xml:space="preserve"> </t>
    </r>
    <r>
      <rPr>
        <sz val="9"/>
        <color theme="1"/>
        <rFont val="맑은 고딕"/>
        <family val="3"/>
        <charset val="129"/>
      </rPr>
      <t>파일에서</t>
    </r>
    <r>
      <rPr>
        <sz val="9"/>
        <color theme="1"/>
        <rFont val="Calibri"/>
        <family val="2"/>
      </rPr>
      <t xml:space="preserve"> </t>
    </r>
    <r>
      <rPr>
        <sz val="9"/>
        <color theme="1"/>
        <rFont val="맑은 고딕"/>
        <family val="3"/>
        <charset val="129"/>
      </rPr>
      <t>일정</t>
    </r>
    <r>
      <rPr>
        <sz val="9"/>
        <color theme="1"/>
        <rFont val="Calibri"/>
        <family val="2"/>
      </rPr>
      <t xml:space="preserve"> </t>
    </r>
    <r>
      <rPr>
        <sz val="9"/>
        <color theme="1"/>
        <rFont val="맑은 고딕"/>
        <family val="3"/>
        <charset val="129"/>
      </rPr>
      <t>가져오기</t>
    </r>
  </si>
  <si>
    <r>
      <t xml:space="preserve">Server Data </t>
    </r>
    <r>
      <rPr>
        <sz val="9"/>
        <color theme="1"/>
        <rFont val="맑은 고딕"/>
        <family val="3"/>
        <charset val="129"/>
      </rPr>
      <t>가져오기</t>
    </r>
  </si>
  <si>
    <r>
      <rPr>
        <sz val="9"/>
        <color theme="1"/>
        <rFont val="맑은 고딕"/>
        <family val="3"/>
        <charset val="129"/>
      </rPr>
      <t>자료를</t>
    </r>
    <r>
      <rPr>
        <sz val="9"/>
        <color theme="1"/>
        <rFont val="Calibri"/>
        <family val="2"/>
      </rPr>
      <t xml:space="preserve"> </t>
    </r>
    <r>
      <rPr>
        <sz val="9"/>
        <color theme="1"/>
        <rFont val="맑은 고딕"/>
        <family val="3"/>
        <charset val="129"/>
      </rPr>
      <t>가져옵니다</t>
    </r>
    <r>
      <rPr>
        <sz val="9"/>
        <color theme="1"/>
        <rFont val="Calibri"/>
        <family val="2"/>
      </rPr>
      <t xml:space="preserve">. </t>
    </r>
    <r>
      <rPr>
        <sz val="9"/>
        <color theme="1"/>
        <rFont val="맑은 고딕"/>
        <family val="3"/>
        <charset val="129"/>
      </rPr>
      <t>잠시만</t>
    </r>
    <r>
      <rPr>
        <sz val="9"/>
        <color theme="1"/>
        <rFont val="Calibri"/>
        <family val="2"/>
      </rPr>
      <t xml:space="preserve"> </t>
    </r>
    <r>
      <rPr>
        <sz val="9"/>
        <color theme="1"/>
        <rFont val="맑은 고딕"/>
        <family val="3"/>
        <charset val="129"/>
      </rPr>
      <t>기다려주세요</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</si>
  <si>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엑셀간트</t>
    </r>
    <r>
      <rPr>
        <sz val="9"/>
        <color theme="1"/>
        <rFont val="Calibri"/>
        <family val="2"/>
      </rPr>
      <t xml:space="preserve">(XLGantt) </t>
    </r>
    <r>
      <rPr>
        <sz val="9"/>
        <color theme="1"/>
        <rFont val="맑은 고딕"/>
        <family val="3"/>
        <charset val="129"/>
      </rPr>
      <t>또는</t>
    </r>
    <r>
      <rPr>
        <sz val="9"/>
        <color theme="1"/>
        <rFont val="Calibri"/>
        <family val="2"/>
      </rPr>
      <t xml:space="preserve"> </t>
    </r>
    <r>
      <rPr>
        <sz val="9"/>
        <color theme="1"/>
        <rFont val="맑은 고딕"/>
        <family val="3"/>
        <charset val="129"/>
      </rPr>
      <t>일반</t>
    </r>
    <r>
      <rPr>
        <sz val="9"/>
        <color theme="1"/>
        <rFont val="Calibri"/>
        <family val="2"/>
      </rPr>
      <t xml:space="preserve"> </t>
    </r>
    <r>
      <rPr>
        <sz val="9"/>
        <color theme="1"/>
        <rFont val="맑은 고딕"/>
        <family val="3"/>
        <charset val="129"/>
      </rPr>
      <t>엑셀파일로</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가져오는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t>
    </r>
  </si>
  <si>
    <r>
      <rPr>
        <sz val="9"/>
        <color theme="1"/>
        <rFont val="맑은 고딕"/>
        <family val="3"/>
        <charset val="129"/>
      </rPr>
      <t>산출물명</t>
    </r>
    <r>
      <rPr>
        <sz val="9"/>
        <color theme="1"/>
        <rFont val="Calibri"/>
        <family val="2"/>
      </rPr>
      <t xml:space="preserve"> </t>
    </r>
    <r>
      <rPr>
        <sz val="9"/>
        <color theme="1"/>
        <rFont val="맑은 고딕"/>
        <family val="3"/>
        <charset val="129"/>
      </rPr>
      <t>비었을때</t>
    </r>
    <r>
      <rPr>
        <sz val="9"/>
        <color theme="1"/>
        <rFont val="Calibri"/>
        <family val="2"/>
      </rPr>
      <t>\n</t>
    </r>
    <r>
      <rPr>
        <sz val="9"/>
        <color theme="1"/>
        <rFont val="맑은 고딕"/>
        <family val="3"/>
        <charset val="129"/>
      </rPr>
      <t>선택목록에</t>
    </r>
    <r>
      <rPr>
        <sz val="9"/>
        <color theme="1"/>
        <rFont val="Calibri"/>
        <family val="2"/>
      </rPr>
      <t xml:space="preserve"> </t>
    </r>
    <r>
      <rPr>
        <sz val="9"/>
        <color theme="1"/>
        <rFont val="맑은 고딕"/>
        <family val="3"/>
        <charset val="129"/>
      </rPr>
      <t>포함</t>
    </r>
    <r>
      <rPr>
        <sz val="9"/>
        <color theme="1"/>
        <rFont val="Calibri"/>
        <family val="2"/>
      </rPr>
      <t>\n</t>
    </r>
    <r>
      <rPr>
        <sz val="9"/>
        <color theme="1"/>
        <rFont val="맑은 고딕"/>
        <family val="3"/>
        <charset val="129"/>
      </rPr>
      <t>여부</t>
    </r>
  </si>
  <si>
    <r>
      <rPr>
        <sz val="9"/>
        <color theme="1"/>
        <rFont val="맑은 고딕"/>
        <family val="3"/>
        <charset val="129"/>
      </rPr>
      <t>작업레벨</t>
    </r>
    <r>
      <rPr>
        <sz val="9"/>
        <color theme="1"/>
        <rFont val="Calibri"/>
        <family val="2"/>
      </rPr>
      <t xml:space="preserve"> </t>
    </r>
    <r>
      <rPr>
        <sz val="9"/>
        <color theme="1"/>
        <rFont val="맑은 고딕"/>
        <family val="3"/>
        <charset val="129"/>
      </rPr>
      <t>내림</t>
    </r>
  </si>
  <si>
    <r>
      <t xml:space="preserve">Chart </t>
    </r>
    <r>
      <rPr>
        <sz val="9"/>
        <color theme="1"/>
        <rFont val="맑은 고딕"/>
        <family val="3"/>
        <charset val="129"/>
      </rPr>
      <t>내부</t>
    </r>
  </si>
  <si>
    <r>
      <t>Excel</t>
    </r>
    <r>
      <rPr>
        <sz val="9"/>
        <color theme="1"/>
        <rFont val="맑은 고딕"/>
        <family val="3"/>
        <charset val="129"/>
      </rPr>
      <t>기능과</t>
    </r>
    <r>
      <rPr>
        <sz val="9"/>
        <color theme="1"/>
        <rFont val="Calibri"/>
        <family val="2"/>
      </rPr>
      <t xml:space="preserve"> </t>
    </r>
    <r>
      <rPr>
        <sz val="9"/>
        <color theme="1"/>
        <rFont val="맑은 고딕"/>
        <family val="3"/>
        <charset val="129"/>
      </rPr>
      <t>통합</t>
    </r>
    <phoneticPr fontId="1" type="noConversion"/>
  </si>
  <si>
    <r>
      <rPr>
        <sz val="9"/>
        <color theme="1"/>
        <rFont val="맑은 고딕"/>
        <family val="3"/>
        <charset val="129"/>
      </rPr>
      <t>필드명이</t>
    </r>
    <r>
      <rPr>
        <sz val="9"/>
        <color theme="1"/>
        <rFont val="Calibri"/>
        <family val="2"/>
      </rPr>
      <t xml:space="preserve"> </t>
    </r>
    <r>
      <rPr>
        <sz val="9"/>
        <color theme="1"/>
        <rFont val="맑은 고딕"/>
        <family val="3"/>
        <charset val="129"/>
      </rPr>
      <t>잘못되었습니다</t>
    </r>
    <r>
      <rPr>
        <sz val="9"/>
        <color theme="1"/>
        <rFont val="Calibri"/>
        <family val="2"/>
      </rPr>
      <t>!</t>
    </r>
    <phoneticPr fontId="1" type="noConversion"/>
  </si>
  <si>
    <r>
      <t>Server</t>
    </r>
    <r>
      <rPr>
        <sz val="9"/>
        <color theme="1"/>
        <rFont val="맑은 고딕"/>
        <family val="3"/>
        <charset val="129"/>
      </rPr>
      <t>가</t>
    </r>
    <r>
      <rPr>
        <sz val="9"/>
        <color theme="1"/>
        <rFont val="Calibri"/>
        <family val="2"/>
      </rPr>
      <t xml:space="preserve"> </t>
    </r>
    <r>
      <rPr>
        <sz val="9"/>
        <color theme="1"/>
        <rFont val="맑은 고딕"/>
        <family val="3"/>
        <charset val="129"/>
      </rPr>
      <t>별도로</t>
    </r>
    <r>
      <rPr>
        <sz val="9"/>
        <color theme="1"/>
        <rFont val="Calibri"/>
        <family val="2"/>
      </rPr>
      <t xml:space="preserve"> </t>
    </r>
    <r>
      <rPr>
        <sz val="9"/>
        <color theme="1"/>
        <rFont val="맑은 고딕"/>
        <family val="3"/>
        <charset val="129"/>
      </rPr>
      <t>존재하는</t>
    </r>
    <r>
      <rPr>
        <sz val="9"/>
        <color theme="1"/>
        <rFont val="Calibri"/>
        <family val="2"/>
      </rPr>
      <t xml:space="preserve"> IT</t>
    </r>
    <r>
      <rPr>
        <sz val="9"/>
        <color theme="1"/>
        <rFont val="맑은 고딕"/>
        <family val="3"/>
        <charset val="129"/>
      </rPr>
      <t>시스템의</t>
    </r>
    <r>
      <rPr>
        <sz val="9"/>
        <color theme="1"/>
        <rFont val="Calibri"/>
        <family val="2"/>
      </rPr>
      <t xml:space="preserve"> </t>
    </r>
    <r>
      <rPr>
        <sz val="9"/>
        <color theme="1"/>
        <rFont val="맑은 고딕"/>
        <family val="3"/>
        <charset val="129"/>
      </rPr>
      <t>일정관리</t>
    </r>
    <r>
      <rPr>
        <sz val="9"/>
        <color theme="1"/>
        <rFont val="Calibri"/>
        <family val="2"/>
      </rPr>
      <t xml:space="preserve"> Data</t>
    </r>
    <r>
      <rPr>
        <sz val="9"/>
        <color theme="1"/>
        <rFont val="맑은 고딕"/>
        <family val="3"/>
        <charset val="129"/>
      </rPr>
      <t>를</t>
    </r>
    <r>
      <rPr>
        <sz val="9"/>
        <color theme="1"/>
        <rFont val="Calibri"/>
        <family val="2"/>
      </rPr>
      <t xml:space="preserve"> PC</t>
    </r>
    <r>
      <rPr>
        <sz val="9"/>
        <color theme="1"/>
        <rFont val="맑은 고딕"/>
        <family val="3"/>
        <charset val="129"/>
      </rPr>
      <t>에서</t>
    </r>
    <r>
      <rPr>
        <sz val="9"/>
        <color theme="1"/>
        <rFont val="Calibri"/>
        <family val="2"/>
      </rPr>
      <t xml:space="preserve"> </t>
    </r>
    <r>
      <rPr>
        <sz val="9"/>
        <color theme="1"/>
        <rFont val="맑은 고딕"/>
        <family val="3"/>
        <charset val="129"/>
      </rPr>
      <t>보고자할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사용한다</t>
    </r>
    <r>
      <rPr>
        <sz val="9"/>
        <color theme="1"/>
        <rFont val="Calibri"/>
        <family val="2"/>
      </rPr>
      <t>.</t>
    </r>
  </si>
  <si>
    <r>
      <rPr>
        <sz val="9"/>
        <color theme="1"/>
        <rFont val="맑은 고딕"/>
        <family val="3"/>
        <charset val="129"/>
      </rPr>
      <t>이미</t>
    </r>
    <r>
      <rPr>
        <sz val="9"/>
        <color theme="1"/>
        <rFont val="Calibri"/>
        <family val="2"/>
      </rPr>
      <t xml:space="preserve"> </t>
    </r>
    <r>
      <rPr>
        <sz val="9"/>
        <color theme="1"/>
        <rFont val="맑은 고딕"/>
        <family val="3"/>
        <charset val="129"/>
      </rPr>
      <t>선택된</t>
    </r>
    <r>
      <rPr>
        <sz val="9"/>
        <color theme="1"/>
        <rFont val="Calibri"/>
        <family val="2"/>
      </rPr>
      <t xml:space="preserve"> </t>
    </r>
    <r>
      <rPr>
        <sz val="9"/>
        <color theme="1"/>
        <rFont val="맑은 고딕"/>
        <family val="3"/>
        <charset val="129"/>
      </rPr>
      <t>언어입니다</t>
    </r>
    <r>
      <rPr>
        <sz val="9"/>
        <color theme="1"/>
        <rFont val="Calibri"/>
        <family val="2"/>
      </rPr>
      <t>.</t>
    </r>
  </si>
  <si>
    <r>
      <rPr>
        <sz val="9"/>
        <color theme="1"/>
        <rFont val="맑은 고딕"/>
        <family val="3"/>
        <charset val="129"/>
      </rPr>
      <t>작업결과</t>
    </r>
  </si>
  <si>
    <r>
      <rPr>
        <sz val="9"/>
        <color theme="1"/>
        <rFont val="맑은 고딕"/>
        <family val="3"/>
        <charset val="129"/>
      </rPr>
      <t>홍길동</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</si>
  <si>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t>
    </r>
    <r>
      <rPr>
        <sz val="9"/>
        <color theme="1"/>
        <rFont val="Calibri"/>
        <family val="2"/>
      </rPr>
      <t xml:space="preserve"> </t>
    </r>
    <r>
      <rPr>
        <sz val="9"/>
        <color theme="1"/>
        <rFont val="맑은 고딕"/>
        <family val="3"/>
        <charset val="129"/>
      </rPr>
      <t>파악하기</t>
    </r>
  </si>
  <si>
    <r>
      <rPr>
        <sz val="9"/>
        <color theme="1"/>
        <rFont val="맑은 고딕"/>
        <family val="3"/>
        <charset val="129"/>
      </rPr>
      <t>언어</t>
    </r>
    <phoneticPr fontId="1" type="noConversion"/>
  </si>
  <si>
    <r>
      <t xml:space="preserve">Chart </t>
    </r>
    <r>
      <rPr>
        <sz val="9"/>
        <color theme="1"/>
        <rFont val="맑은 고딕"/>
        <family val="3"/>
        <charset val="129"/>
      </rPr>
      <t>왼쪽</t>
    </r>
  </si>
  <si>
    <r>
      <rPr>
        <sz val="9"/>
        <color theme="1"/>
        <rFont val="맑은 고딕"/>
        <family val="3"/>
        <charset val="129"/>
      </rPr>
      <t>라이선스</t>
    </r>
  </si>
  <si>
    <r>
      <t>Workload data</t>
    </r>
    <r>
      <rPr>
        <sz val="9"/>
        <color theme="1"/>
        <rFont val="맑은 고딕"/>
        <family val="3"/>
        <charset val="129"/>
      </rPr>
      <t>를</t>
    </r>
    <r>
      <rPr>
        <sz val="9"/>
        <color theme="1"/>
        <rFont val="Calibri"/>
        <family val="2"/>
      </rPr>
      <t xml:space="preserve"> </t>
    </r>
    <r>
      <rPr>
        <sz val="9"/>
        <color theme="1"/>
        <rFont val="맑은 고딕"/>
        <family val="3"/>
        <charset val="129"/>
      </rPr>
      <t>주별</t>
    </r>
    <r>
      <rPr>
        <sz val="9"/>
        <color theme="1"/>
        <rFont val="Calibri"/>
        <family val="2"/>
      </rPr>
      <t>/</t>
    </r>
    <r>
      <rPr>
        <sz val="9"/>
        <color theme="1"/>
        <rFont val="맑은 고딕"/>
        <family val="3"/>
        <charset val="129"/>
      </rPr>
      <t>월별로</t>
    </r>
    <r>
      <rPr>
        <sz val="9"/>
        <color theme="1"/>
        <rFont val="Calibri"/>
        <family val="2"/>
      </rPr>
      <t xml:space="preserve"> </t>
    </r>
    <r>
      <rPr>
        <sz val="9"/>
        <color theme="1"/>
        <rFont val="맑은 고딕"/>
        <family val="3"/>
        <charset val="129"/>
      </rPr>
      <t>만들어</t>
    </r>
    <r>
      <rPr>
        <sz val="9"/>
        <color theme="1"/>
        <rFont val="Calibri"/>
        <family val="2"/>
      </rPr>
      <t xml:space="preserve"> </t>
    </r>
    <r>
      <rPr>
        <sz val="9"/>
        <color theme="1"/>
        <rFont val="맑은 고딕"/>
        <family val="3"/>
        <charset val="129"/>
      </rPr>
      <t>준다</t>
    </r>
    <r>
      <rPr>
        <sz val="9"/>
        <color theme="1"/>
        <rFont val="Calibri"/>
        <family val="2"/>
      </rPr>
      <t xml:space="preserve">. </t>
    </r>
    <r>
      <rPr>
        <sz val="9"/>
        <color theme="1"/>
        <rFont val="맑은 고딕"/>
        <family val="3"/>
        <charset val="129"/>
      </rPr>
      <t>피벗</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원하는대로</t>
    </r>
    <r>
      <rPr>
        <sz val="9"/>
        <color theme="1"/>
        <rFont val="Calibri"/>
        <family val="2"/>
      </rPr>
      <t xml:space="preserve"> </t>
    </r>
    <r>
      <rPr>
        <sz val="9"/>
        <color theme="1"/>
        <rFont val="맑은 고딕"/>
        <family val="3"/>
        <charset val="129"/>
      </rPr>
      <t>분석을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phoneticPr fontId="1" type="noConversion"/>
  </si>
  <si>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r>
      <rPr>
        <sz val="9"/>
        <color theme="1"/>
        <rFont val="Calibri"/>
        <family val="2"/>
      </rPr>
      <t>”</t>
    </r>
    <r>
      <rPr>
        <sz val="9"/>
        <color theme="1"/>
        <rFont val="맑은 고딕"/>
        <family val="3"/>
        <charset val="129"/>
      </rPr>
      <t>기능을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실제시작일과</t>
    </r>
    <r>
      <rPr>
        <sz val="9"/>
        <color theme="1"/>
        <rFont val="Calibri"/>
        <family val="2"/>
      </rPr>
      <t xml:space="preserve"> </t>
    </r>
    <r>
      <rPr>
        <sz val="9"/>
        <color theme="1"/>
        <rFont val="맑은 고딕"/>
        <family val="3"/>
        <charset val="129"/>
      </rPr>
      <t>실제완료일을</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지연되고</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지</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</si>
  <si>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</si>
  <si>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수동</t>
    </r>
    <phoneticPr fontId="1" type="noConversion"/>
  </si>
  <si>
    <r>
      <rPr>
        <sz val="9"/>
        <color theme="1"/>
        <rFont val="맑은 고딕"/>
        <family val="3"/>
        <charset val="129"/>
      </rPr>
      <t>작업을</t>
    </r>
    <r>
      <rPr>
        <sz val="9"/>
        <color theme="1"/>
        <rFont val="Calibri"/>
        <family val="2"/>
      </rPr>
      <t xml:space="preserve"> </t>
    </r>
    <r>
      <rPr>
        <sz val="9"/>
        <color theme="1"/>
        <rFont val="맑은 고딕"/>
        <family val="3"/>
        <charset val="129"/>
      </rPr>
      <t>마일스톤으로</t>
    </r>
    <r>
      <rPr>
        <sz val="9"/>
        <color theme="1"/>
        <rFont val="Calibri"/>
        <family val="2"/>
      </rPr>
      <t xml:space="preserve"> </t>
    </r>
    <r>
      <rPr>
        <sz val="9"/>
        <color theme="1"/>
        <rFont val="맑은 고딕"/>
        <family val="3"/>
        <charset val="129"/>
      </rPr>
      <t>지정</t>
    </r>
    <phoneticPr fontId="1" type="noConversion"/>
  </si>
  <si>
    <r>
      <t>yyyy</t>
    </r>
    <r>
      <rPr>
        <sz val="9"/>
        <color theme="1"/>
        <rFont val="맑은 고딕"/>
        <family val="3"/>
        <charset val="129"/>
      </rPr>
      <t>년</t>
    </r>
    <r>
      <rPr>
        <sz val="9"/>
        <color theme="1"/>
        <rFont val="Calibri"/>
        <family val="2"/>
      </rPr>
      <t xml:space="preserve"> m</t>
    </r>
    <r>
      <rPr>
        <sz val="9"/>
        <color theme="1"/>
        <rFont val="맑은 고딕"/>
        <family val="3"/>
        <charset val="129"/>
      </rPr>
      <t>월</t>
    </r>
  </si>
  <si>
    <r>
      <rPr>
        <sz val="9"/>
        <color theme="1"/>
        <rFont val="맑은 고딕"/>
        <family val="3"/>
        <charset val="129"/>
      </rPr>
      <t>월</t>
    </r>
  </si>
  <si>
    <r>
      <rPr>
        <sz val="9"/>
        <color theme="1"/>
        <rFont val="맑은 고딕"/>
        <family val="3"/>
        <charset val="129"/>
      </rPr>
      <t>월별</t>
    </r>
  </si>
  <si>
    <r>
      <rPr>
        <sz val="9"/>
        <color theme="1"/>
        <rFont val="맑은 고딕"/>
        <family val="3"/>
        <charset val="129"/>
      </rPr>
      <t>월별보기</t>
    </r>
  </si>
  <si>
    <r>
      <rPr>
        <sz val="9"/>
        <color theme="1"/>
        <rFont val="맑은 고딕"/>
        <family val="3"/>
        <charset val="129"/>
      </rPr>
      <t>다국어</t>
    </r>
    <r>
      <rPr>
        <sz val="9"/>
        <color theme="1"/>
        <rFont val="Calibri"/>
        <family val="2"/>
      </rPr>
      <t xml:space="preserve"> </t>
    </r>
    <r>
      <rPr>
        <sz val="9"/>
        <color theme="1"/>
        <rFont val="맑은 고딕"/>
        <family val="3"/>
        <charset val="129"/>
      </rPr>
      <t>지원</t>
    </r>
  </si>
  <si>
    <r>
      <rPr>
        <sz val="9"/>
        <color theme="1"/>
        <rFont val="맑은 고딕"/>
        <family val="3"/>
        <charset val="129"/>
      </rPr>
      <t>휴무일명</t>
    </r>
  </si>
  <si>
    <r>
      <rPr>
        <sz val="9"/>
        <color theme="1"/>
        <rFont val="맑은 고딕"/>
        <family val="3"/>
        <charset val="129"/>
      </rPr>
      <t>최신</t>
    </r>
    <r>
      <rPr>
        <sz val="9"/>
        <color theme="1"/>
        <rFont val="Calibri"/>
        <family val="2"/>
      </rPr>
      <t xml:space="preserve"> </t>
    </r>
    <r>
      <rPr>
        <sz val="9"/>
        <color theme="1"/>
        <rFont val="맑은 고딕"/>
        <family val="3"/>
        <charset val="129"/>
      </rPr>
      <t>버전</t>
    </r>
  </si>
  <si>
    <r>
      <rPr>
        <sz val="9"/>
        <color theme="1"/>
        <rFont val="맑은 고딕"/>
        <family val="3"/>
        <charset val="129"/>
      </rPr>
      <t>다음</t>
    </r>
    <r>
      <rPr>
        <sz val="9"/>
        <color theme="1"/>
        <rFont val="Calibri"/>
        <family val="2"/>
      </rPr>
      <t xml:space="preserve"> &gt;&gt;</t>
    </r>
  </si>
  <si>
    <r>
      <rPr>
        <sz val="9"/>
        <color theme="1"/>
        <rFont val="맑은 고딕"/>
        <family val="3"/>
        <charset val="129"/>
      </rPr>
      <t>가져올</t>
    </r>
    <r>
      <rPr>
        <sz val="9"/>
        <color theme="1"/>
        <rFont val="Calibri"/>
        <family val="2"/>
      </rPr>
      <t xml:space="preserve"> </t>
    </r>
    <r>
      <rPr>
        <sz val="9"/>
        <color theme="1"/>
        <rFont val="맑은 고딕"/>
        <family val="3"/>
        <charset val="129"/>
      </rPr>
      <t>데이터가</t>
    </r>
    <r>
      <rPr>
        <sz val="9"/>
        <color theme="1"/>
        <rFont val="Calibri"/>
        <family val="2"/>
      </rPr>
      <t xml:space="preserve"> </t>
    </r>
    <r>
      <rPr>
        <sz val="9"/>
        <color theme="1"/>
        <rFont val="맑은 고딕"/>
        <family val="3"/>
        <charset val="129"/>
      </rPr>
      <t>없습니다</t>
    </r>
    <r>
      <rPr>
        <sz val="9"/>
        <color theme="1"/>
        <rFont val="Calibri"/>
        <family val="2"/>
      </rPr>
      <t>.</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</si>
  <si>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</si>
  <si>
    <r>
      <rPr>
        <sz val="9"/>
        <color theme="1"/>
        <rFont val="맑은 고딕"/>
        <family val="3"/>
        <charset val="129"/>
      </rPr>
      <t>토요일</t>
    </r>
    <r>
      <rPr>
        <sz val="9"/>
        <color theme="1"/>
        <rFont val="Calibri"/>
        <family val="2"/>
      </rPr>
      <t>,</t>
    </r>
    <r>
      <rPr>
        <sz val="9"/>
        <color theme="1"/>
        <rFont val="맑은 고딕"/>
        <family val="3"/>
        <charset val="129"/>
      </rPr>
      <t>일요일은</t>
    </r>
    <r>
      <rPr>
        <sz val="9"/>
        <color theme="1"/>
        <rFont val="Calibri"/>
        <family val="2"/>
      </rPr>
      <t xml:space="preserve"> Calendar sheet</t>
    </r>
    <r>
      <rPr>
        <sz val="9"/>
        <color theme="1"/>
        <rFont val="맑은 고딕"/>
        <family val="3"/>
        <charset val="129"/>
      </rPr>
      <t>에</t>
    </r>
    <r>
      <rPr>
        <sz val="9"/>
        <color theme="1"/>
        <rFont val="Calibri"/>
        <family val="2"/>
      </rPr>
      <t xml:space="preserve"> </t>
    </r>
    <r>
      <rPr>
        <sz val="9"/>
        <color theme="1"/>
        <rFont val="맑은 고딕"/>
        <family val="3"/>
        <charset val="129"/>
      </rPr>
      <t>입력할</t>
    </r>
    <r>
      <rPr>
        <sz val="9"/>
        <color theme="1"/>
        <rFont val="Calibri"/>
        <family val="2"/>
      </rPr>
      <t xml:space="preserve"> </t>
    </r>
    <r>
      <rPr>
        <sz val="9"/>
        <color theme="1"/>
        <rFont val="맑은 고딕"/>
        <family val="3"/>
        <charset val="129"/>
      </rPr>
      <t>필요</t>
    </r>
    <r>
      <rPr>
        <sz val="9"/>
        <color theme="1"/>
        <rFont val="Calibri"/>
        <family val="2"/>
      </rPr>
      <t xml:space="preserve"> </t>
    </r>
    <r>
      <rPr>
        <sz val="9"/>
        <color theme="1"/>
        <rFont val="맑은 고딕"/>
        <family val="3"/>
        <charset val="129"/>
      </rPr>
      <t>없음</t>
    </r>
    <phoneticPr fontId="1" type="noConversion"/>
  </si>
  <si>
    <r>
      <rPr>
        <sz val="9"/>
        <color theme="1"/>
        <rFont val="맑은 고딕"/>
        <family val="3"/>
        <charset val="129"/>
      </rPr>
      <t>표시</t>
    </r>
    <r>
      <rPr>
        <sz val="9"/>
        <color theme="1"/>
        <rFont val="Calibri"/>
        <family val="2"/>
      </rPr>
      <t xml:space="preserve"> </t>
    </r>
    <r>
      <rPr>
        <sz val="9"/>
        <color theme="1"/>
        <rFont val="맑은 고딕"/>
        <family val="3"/>
        <charset val="129"/>
      </rPr>
      <t>안함</t>
    </r>
    <phoneticPr fontId="1" type="noConversion"/>
  </si>
  <si>
    <r>
      <rPr>
        <sz val="9"/>
        <color theme="1"/>
        <rFont val="맑은 고딕"/>
        <family val="3"/>
        <charset val="129"/>
      </rPr>
      <t>휴무일자</t>
    </r>
  </si>
  <si>
    <r>
      <rPr>
        <sz val="9"/>
        <color theme="1"/>
        <rFont val="맑은 고딕"/>
        <family val="3"/>
        <charset val="129"/>
      </rPr>
      <t>미완료</t>
    </r>
  </si>
  <si>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안함</t>
    </r>
    <r>
      <rPr>
        <sz val="9"/>
        <color theme="1"/>
        <rFont val="Calibri"/>
        <family val="2"/>
      </rPr>
      <t>(</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t>
    </r>
    <r>
      <rPr>
        <sz val="9"/>
        <color theme="1"/>
        <rFont val="Calibri"/>
        <family val="2"/>
      </rPr>
      <t>)</t>
    </r>
  </si>
  <si>
    <r>
      <rPr>
        <sz val="9"/>
        <color theme="1"/>
        <rFont val="맑은 고딕"/>
        <family val="3"/>
        <charset val="129"/>
      </rPr>
      <t>지정하지</t>
    </r>
    <r>
      <rPr>
        <sz val="9"/>
        <color theme="1"/>
        <rFont val="Calibri"/>
        <family val="2"/>
      </rPr>
      <t xml:space="preserve"> </t>
    </r>
    <r>
      <rPr>
        <sz val="9"/>
        <color theme="1"/>
        <rFont val="맑은 고딕"/>
        <family val="3"/>
        <charset val="129"/>
      </rPr>
      <t>않음</t>
    </r>
    <r>
      <rPr>
        <sz val="9"/>
        <color theme="1"/>
        <rFont val="Calibri"/>
        <family val="2"/>
      </rPr>
      <t>(</t>
    </r>
    <r>
      <rPr>
        <sz val="9"/>
        <color theme="1"/>
        <rFont val="맑은 고딕"/>
        <family val="3"/>
        <charset val="129"/>
      </rPr>
      <t>표준캘린더</t>
    </r>
    <r>
      <rPr>
        <sz val="9"/>
        <color theme="1"/>
        <rFont val="Calibri"/>
        <family val="2"/>
      </rPr>
      <t>)</t>
    </r>
  </si>
  <si>
    <r>
      <rPr>
        <sz val="9"/>
        <color theme="1"/>
        <rFont val="맑은 고딕"/>
        <family val="3"/>
        <charset val="129"/>
      </rPr>
      <t>비고</t>
    </r>
  </si>
  <si>
    <r>
      <t>"</t>
    </r>
    <r>
      <rPr>
        <sz val="9"/>
        <color theme="1"/>
        <rFont val="맑은 고딕"/>
        <family val="3"/>
        <charset val="129"/>
      </rPr>
      <t>작업</t>
    </r>
    <r>
      <rPr>
        <sz val="9"/>
        <color theme="1"/>
        <rFont val="Calibri"/>
        <family val="2"/>
      </rPr>
      <t>"</t>
    </r>
    <r>
      <rPr>
        <sz val="9"/>
        <color theme="1"/>
        <rFont val="맑은 고딕"/>
        <family val="3"/>
        <charset val="129"/>
      </rPr>
      <t>열의</t>
    </r>
    <r>
      <rPr>
        <sz val="9"/>
        <color theme="1"/>
        <rFont val="Calibri"/>
        <family val="2"/>
      </rPr>
      <t xml:space="preserve"> </t>
    </r>
    <r>
      <rPr>
        <sz val="9"/>
        <color theme="1"/>
        <rFont val="맑은 고딕"/>
        <family val="3"/>
        <charset val="129"/>
      </rPr>
      <t>개수</t>
    </r>
    <r>
      <rPr>
        <sz val="9"/>
        <color theme="1"/>
        <rFont val="Calibri"/>
        <family val="2"/>
      </rPr>
      <t>(</t>
    </r>
    <r>
      <rPr>
        <sz val="9"/>
        <color theme="1"/>
        <rFont val="맑은 고딕"/>
        <family val="3"/>
        <charset val="129"/>
      </rPr>
      <t>최대</t>
    </r>
    <r>
      <rPr>
        <sz val="9"/>
        <color theme="1"/>
        <rFont val="Calibri"/>
        <family val="2"/>
      </rPr>
      <t xml:space="preserve"> 20</t>
    </r>
    <r>
      <rPr>
        <sz val="9"/>
        <color theme="1"/>
        <rFont val="맑은 고딕"/>
        <family val="3"/>
        <charset val="129"/>
      </rPr>
      <t>개</t>
    </r>
    <r>
      <rPr>
        <sz val="9"/>
        <color theme="1"/>
        <rFont val="Calibri"/>
        <family val="2"/>
      </rPr>
      <t>)</t>
    </r>
    <phoneticPr fontId="1" type="noConversion"/>
  </si>
  <si>
    <r>
      <t>1~2</t>
    </r>
    <r>
      <rPr>
        <sz val="9"/>
        <color theme="1"/>
        <rFont val="맑은 고딕"/>
        <family val="3"/>
        <charset val="129"/>
      </rPr>
      <t>행</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한</t>
    </r>
    <r>
      <rPr>
        <sz val="9"/>
        <color theme="1"/>
        <rFont val="Calibri"/>
        <family val="2"/>
      </rPr>
      <t xml:space="preserve"> </t>
    </r>
    <r>
      <rPr>
        <sz val="9"/>
        <color theme="1"/>
        <rFont val="맑은 고딕"/>
        <family val="3"/>
        <charset val="129"/>
      </rPr>
      <t>행이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작업하십시오</t>
    </r>
    <r>
      <rPr>
        <sz val="9"/>
        <color theme="1"/>
        <rFont val="Calibri"/>
        <family val="2"/>
      </rPr>
      <t>.</t>
    </r>
  </si>
  <si>
    <r>
      <rPr>
        <sz val="9"/>
        <color theme="1"/>
        <rFont val="맑은 고딕"/>
        <family val="3"/>
        <charset val="129"/>
      </rPr>
      <t>일정</t>
    </r>
    <r>
      <rPr>
        <sz val="9"/>
        <color theme="1"/>
        <rFont val="Calibri"/>
        <family val="2"/>
      </rPr>
      <t xml:space="preserve"> </t>
    </r>
    <r>
      <rPr>
        <sz val="9"/>
        <color theme="1"/>
        <rFont val="맑은 고딕"/>
        <family val="3"/>
        <charset val="129"/>
      </rPr>
      <t>준수</t>
    </r>
    <phoneticPr fontId="1" type="noConversion"/>
  </si>
  <si>
    <r>
      <t>"</t>
    </r>
    <r>
      <rPr>
        <sz val="9"/>
        <color theme="1"/>
        <rFont val="맑은 고딕"/>
        <family val="3"/>
        <charset val="129"/>
      </rPr>
      <t>같은</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t>
    </r>
    <r>
      <rPr>
        <sz val="9"/>
        <color theme="1"/>
        <rFont val="Calibri"/>
        <family val="2"/>
      </rPr>
      <t xml:space="preserve"> </t>
    </r>
    <r>
      <rPr>
        <sz val="9"/>
        <color theme="1"/>
        <rFont val="맑은 고딕"/>
        <family val="3"/>
        <charset val="129"/>
      </rPr>
      <t>표시</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선택했으면</t>
    </r>
    <r>
      <rPr>
        <sz val="9"/>
        <color theme="1"/>
        <rFont val="Calibri"/>
        <family val="2"/>
      </rPr>
      <t xml:space="preserve"> WBS No. </t>
    </r>
    <r>
      <rPr>
        <sz val="9"/>
        <color theme="1"/>
        <rFont val="맑은 고딕"/>
        <family val="3"/>
        <charset val="129"/>
      </rPr>
      <t>또는</t>
    </r>
    <r>
      <rPr>
        <sz val="9"/>
        <color theme="1"/>
        <rFont val="Calibri"/>
        <family val="2"/>
      </rPr>
      <t xml:space="preserve"> </t>
    </r>
    <r>
      <rPr>
        <sz val="9"/>
        <color theme="1"/>
        <rFont val="맑은 고딕"/>
        <family val="3"/>
        <charset val="129"/>
      </rPr>
      <t>개요수준</t>
    </r>
    <r>
      <rPr>
        <sz val="9"/>
        <color theme="1"/>
        <rFont val="Calibri"/>
        <family val="2"/>
      </rPr>
      <t xml:space="preserve">(WBS Level) </t>
    </r>
    <r>
      <rPr>
        <sz val="9"/>
        <color theme="1"/>
        <rFont val="맑은 고딕"/>
        <family val="3"/>
        <charset val="129"/>
      </rPr>
      <t>필드</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하나는</t>
    </r>
    <r>
      <rPr>
        <sz val="9"/>
        <color theme="1"/>
        <rFont val="Calibri"/>
        <family val="2"/>
      </rPr>
      <t xml:space="preserve"> </t>
    </r>
    <r>
      <rPr>
        <sz val="9"/>
        <color theme="1"/>
        <rFont val="맑은 고딕"/>
        <family val="3"/>
        <charset val="129"/>
      </rPr>
      <t>선택되어야</t>
    </r>
    <r>
      <rPr>
        <sz val="9"/>
        <color theme="1"/>
        <rFont val="Calibri"/>
        <family val="2"/>
      </rPr>
      <t xml:space="preserve"> </t>
    </r>
    <r>
      <rPr>
        <sz val="9"/>
        <color theme="1"/>
        <rFont val="맑은 고딕"/>
        <family val="3"/>
        <charset val="129"/>
      </rPr>
      <t>합니다</t>
    </r>
  </si>
  <si>
    <r>
      <rPr>
        <sz val="9"/>
        <color theme="1"/>
        <rFont val="맑은 고딕"/>
        <family val="3"/>
        <charset val="129"/>
      </rPr>
      <t>토요일</t>
    </r>
    <r>
      <rPr>
        <sz val="9"/>
        <color theme="1"/>
        <rFont val="Calibri"/>
        <family val="2"/>
      </rPr>
      <t>,</t>
    </r>
    <r>
      <rPr>
        <sz val="9"/>
        <color theme="1"/>
        <rFont val="맑은 고딕"/>
        <family val="3"/>
        <charset val="129"/>
      </rPr>
      <t>일요일만</t>
    </r>
    <phoneticPr fontId="1" type="noConversion"/>
  </si>
  <si>
    <r>
      <t>Calendar sheet</t>
    </r>
    <r>
      <rPr>
        <sz val="9"/>
        <color theme="1"/>
        <rFont val="맑은 고딕"/>
        <family val="3"/>
        <charset val="129"/>
      </rPr>
      <t>에</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날짜만</t>
    </r>
    <phoneticPr fontId="1" type="noConversion"/>
  </si>
  <si>
    <r>
      <rPr>
        <sz val="9"/>
        <color theme="1"/>
        <rFont val="맑은 고딕"/>
        <family val="3"/>
        <charset val="129"/>
      </rPr>
      <t>산출물</t>
    </r>
    <r>
      <rPr>
        <sz val="9"/>
        <color theme="1"/>
        <rFont val="Calibri"/>
        <family val="2"/>
      </rPr>
      <t xml:space="preserve"> </t>
    </r>
    <r>
      <rPr>
        <sz val="9"/>
        <color theme="1"/>
        <rFont val="맑은 고딕"/>
        <family val="3"/>
        <charset val="129"/>
      </rPr>
      <t>열기</t>
    </r>
  </si>
  <si>
    <r>
      <rPr>
        <sz val="9"/>
        <color theme="1"/>
        <rFont val="맑은 고딕"/>
        <family val="3"/>
        <charset val="129"/>
      </rPr>
      <t>산출물</t>
    </r>
    <r>
      <rPr>
        <sz val="9"/>
        <color theme="1"/>
        <rFont val="Calibri"/>
        <family val="2"/>
      </rPr>
      <t xml:space="preserve"> </t>
    </r>
    <r>
      <rPr>
        <sz val="9"/>
        <color theme="1"/>
        <rFont val="맑은 고딕"/>
        <family val="3"/>
        <charset val="129"/>
      </rPr>
      <t>폴더</t>
    </r>
    <r>
      <rPr>
        <sz val="9"/>
        <color theme="1"/>
        <rFont val="Calibri"/>
        <family val="2"/>
      </rPr>
      <t xml:space="preserve"> </t>
    </r>
    <r>
      <rPr>
        <sz val="9"/>
        <color theme="1"/>
        <rFont val="맑은 고딕"/>
        <family val="3"/>
        <charset val="129"/>
      </rPr>
      <t>열기</t>
    </r>
  </si>
  <si>
    <r>
      <rPr>
        <sz val="9"/>
        <color theme="1"/>
        <rFont val="맑은 고딕"/>
        <family val="3"/>
        <charset val="129"/>
      </rPr>
      <t>옵션</t>
    </r>
  </si>
  <si>
    <r>
      <rPr>
        <sz val="9"/>
        <color theme="1"/>
        <rFont val="맑은 고딕"/>
        <family val="3"/>
        <charset val="129"/>
      </rPr>
      <t>작업레벨</t>
    </r>
    <r>
      <rPr>
        <sz val="9"/>
        <color theme="1"/>
        <rFont val="Calibri"/>
        <family val="2"/>
      </rPr>
      <t xml:space="preserve"> </t>
    </r>
    <r>
      <rPr>
        <sz val="9"/>
        <color theme="1"/>
        <rFont val="맑은 고딕"/>
        <family val="3"/>
        <charset val="129"/>
      </rPr>
      <t>올림</t>
    </r>
  </si>
  <si>
    <r>
      <rPr>
        <sz val="9"/>
        <color theme="1"/>
        <rFont val="맑은 고딕"/>
        <family val="3"/>
        <charset val="129"/>
      </rPr>
      <t>개요수준</t>
    </r>
  </si>
  <si>
    <r>
      <rPr>
        <sz val="9"/>
        <color theme="1"/>
        <rFont val="맑은 고딕"/>
        <family val="3"/>
        <charset val="129"/>
      </rPr>
      <t>퍼센트</t>
    </r>
    <r>
      <rPr>
        <sz val="9"/>
        <color theme="1"/>
        <rFont val="Calibri"/>
        <family val="2"/>
      </rPr>
      <t xml:space="preserve"> </t>
    </r>
    <r>
      <rPr>
        <sz val="9"/>
        <color theme="1"/>
        <rFont val="맑은 고딕"/>
        <family val="3"/>
        <charset val="129"/>
      </rPr>
      <t>지정</t>
    </r>
  </si>
  <si>
    <r>
      <rPr>
        <sz val="9"/>
        <color theme="1"/>
        <rFont val="맑은 고딕"/>
        <family val="3"/>
        <charset val="129"/>
      </rPr>
      <t>날짜</t>
    </r>
    <r>
      <rPr>
        <sz val="9"/>
        <color theme="1"/>
        <rFont val="Calibri"/>
        <family val="2"/>
      </rPr>
      <t xml:space="preserve"> </t>
    </r>
    <r>
      <rPr>
        <sz val="9"/>
        <color theme="1"/>
        <rFont val="맑은 고딕"/>
        <family val="3"/>
        <charset val="129"/>
      </rPr>
      <t>선택</t>
    </r>
  </si>
  <si>
    <r>
      <rPr>
        <sz val="9"/>
        <color theme="1"/>
        <rFont val="맑은 고딕"/>
        <family val="3"/>
        <charset val="129"/>
      </rPr>
      <t>계획</t>
    </r>
    <phoneticPr fontId="1" type="noConversion"/>
  </si>
  <si>
    <r>
      <rPr>
        <sz val="9"/>
        <color theme="1"/>
        <rFont val="맑은 고딕"/>
        <family val="3"/>
        <charset val="129"/>
      </rPr>
      <t>계획진척율</t>
    </r>
    <phoneticPr fontId="1" type="noConversion"/>
  </si>
  <si>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t>
    </r>
    <phoneticPr fontId="1" type="noConversion"/>
  </si>
  <si>
    <r>
      <rPr>
        <sz val="9"/>
        <color theme="1"/>
        <rFont val="맑은 고딕"/>
        <family val="3"/>
        <charset val="129"/>
      </rPr>
      <t>현재날짜까지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진척율</t>
    </r>
    <r>
      <rPr>
        <sz val="9"/>
        <color theme="1"/>
        <rFont val="Calibri"/>
        <family val="2"/>
      </rPr>
      <t>, WBS</t>
    </r>
    <r>
      <rPr>
        <sz val="9"/>
        <color theme="1"/>
        <rFont val="맑은 고딕"/>
        <family val="3"/>
        <charset val="129"/>
      </rPr>
      <t>의</t>
    </r>
    <r>
      <rPr>
        <sz val="9"/>
        <color theme="1"/>
        <rFont val="Calibri"/>
        <family val="2"/>
      </rPr>
      <t xml:space="preserve"> "</t>
    </r>
    <r>
      <rPr>
        <sz val="9"/>
        <color theme="1"/>
        <rFont val="맑은 고딕"/>
        <family val="3"/>
        <charset val="129"/>
      </rPr>
      <t>계획진척율</t>
    </r>
    <r>
      <rPr>
        <sz val="9"/>
        <color theme="1"/>
        <rFont val="Calibri"/>
        <family val="2"/>
      </rPr>
      <t>"</t>
    </r>
    <r>
      <rPr>
        <sz val="9"/>
        <color theme="1"/>
        <rFont val="맑은 고딕"/>
        <family val="3"/>
        <charset val="129"/>
      </rPr>
      <t>의</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합계</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표시함</t>
    </r>
  </si>
  <si>
    <r>
      <rPr>
        <sz val="9"/>
        <color theme="1"/>
        <rFont val="맑은 고딕"/>
        <family val="3"/>
        <charset val="129"/>
      </rPr>
      <t>계획</t>
    </r>
    <r>
      <rPr>
        <sz val="9"/>
        <color theme="1"/>
        <rFont val="Calibri"/>
        <family val="2"/>
      </rPr>
      <t xml:space="preserve"> </t>
    </r>
    <r>
      <rPr>
        <sz val="9"/>
        <color theme="1"/>
        <rFont val="맑은 고딕"/>
        <family val="3"/>
        <charset val="129"/>
      </rPr>
      <t>진척율</t>
    </r>
    <r>
      <rPr>
        <sz val="9"/>
        <color theme="1"/>
        <rFont val="Calibri"/>
        <family val="2"/>
      </rPr>
      <t>(A)</t>
    </r>
  </si>
  <si>
    <r>
      <rPr>
        <sz val="9"/>
        <color theme="1"/>
        <rFont val="맑은 고딕"/>
        <family val="3"/>
        <charset val="129"/>
      </rPr>
      <t>계획</t>
    </r>
    <r>
      <rPr>
        <sz val="9"/>
        <color theme="1"/>
        <rFont val="Calibri"/>
        <family val="2"/>
      </rPr>
      <t>(B/A)</t>
    </r>
  </si>
  <si>
    <r>
      <rPr>
        <sz val="9"/>
        <color theme="1"/>
        <rFont val="맑은 고딕"/>
        <family val="3"/>
        <charset val="129"/>
      </rPr>
      <t>계획기간</t>
    </r>
  </si>
  <si>
    <r>
      <rPr>
        <sz val="9"/>
        <color theme="1"/>
        <rFont val="맑은 고딕"/>
        <family val="3"/>
        <charset val="129"/>
      </rPr>
      <t>계획진척율</t>
    </r>
  </si>
  <si>
    <r>
      <rPr>
        <sz val="9"/>
        <color theme="1"/>
        <rFont val="맑은 고딕"/>
        <family val="3"/>
        <charset val="129"/>
      </rPr>
      <t>계획작업량</t>
    </r>
  </si>
  <si>
    <r>
      <rPr>
        <sz val="9"/>
        <color theme="1"/>
        <rFont val="맑은 고딕"/>
        <family val="3"/>
        <charset val="129"/>
      </rPr>
      <t>계획작업량</t>
    </r>
    <r>
      <rPr>
        <sz val="9"/>
        <color theme="1"/>
        <rFont val="Calibri"/>
        <family val="2"/>
      </rPr>
      <t>(B)\nMan-day</t>
    </r>
  </si>
  <si>
    <r>
      <rPr>
        <sz val="9"/>
        <color theme="1"/>
        <rFont val="맑은 고딕"/>
        <family val="3"/>
        <charset val="129"/>
      </rPr>
      <t>계획</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현재일까지</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</si>
  <si>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현재일까지</t>
    </r>
    <r>
      <rPr>
        <sz val="9"/>
        <color theme="1"/>
        <rFont val="Calibri"/>
        <family val="2"/>
      </rPr>
      <t xml:space="preserve"> </t>
    </r>
    <r>
      <rPr>
        <sz val="9"/>
        <color theme="1"/>
        <rFont val="맑은 고딕"/>
        <family val="3"/>
        <charset val="129"/>
      </rPr>
      <t>계획된</t>
    </r>
    <r>
      <rPr>
        <sz val="9"/>
        <color theme="1"/>
        <rFont val="Calibri"/>
        <family val="2"/>
      </rPr>
      <t xml:space="preserve"> </t>
    </r>
    <r>
      <rPr>
        <sz val="9"/>
        <color theme="1"/>
        <rFont val="맑은 고딕"/>
        <family val="3"/>
        <charset val="129"/>
      </rPr>
      <t>작업량</t>
    </r>
  </si>
  <si>
    <r>
      <rPr>
        <sz val="9"/>
        <color theme="1"/>
        <rFont val="맑은 고딕"/>
        <family val="3"/>
        <charset val="129"/>
      </rPr>
      <t>계획작업량</t>
    </r>
    <r>
      <rPr>
        <sz val="9"/>
        <color theme="1"/>
        <rFont val="Calibri"/>
        <family val="2"/>
      </rPr>
      <t xml:space="preserve"> </t>
    </r>
    <r>
      <rPr>
        <sz val="9"/>
        <color theme="1"/>
        <rFont val="맑은 고딕"/>
        <family val="3"/>
        <charset val="129"/>
      </rPr>
      <t>누적</t>
    </r>
    <r>
      <rPr>
        <sz val="9"/>
        <color theme="1"/>
        <rFont val="Calibri"/>
        <family val="2"/>
      </rPr>
      <t>(Man-Day)</t>
    </r>
    <phoneticPr fontId="1" type="noConversion"/>
  </si>
  <si>
    <r>
      <rPr>
        <sz val="9"/>
        <color theme="1"/>
        <rFont val="맑은 고딕"/>
        <family val="3"/>
        <charset val="129"/>
      </rPr>
      <t>해당작업의</t>
    </r>
    <r>
      <rPr>
        <sz val="9"/>
        <color theme="1"/>
        <rFont val="Calibri"/>
        <family val="2"/>
      </rPr>
      <t xml:space="preserve"> </t>
    </r>
    <r>
      <rPr>
        <sz val="9"/>
        <color theme="1"/>
        <rFont val="맑은 고딕"/>
        <family val="3"/>
        <charset val="129"/>
      </rPr>
      <t>시작일부터</t>
    </r>
    <r>
      <rPr>
        <sz val="9"/>
        <color theme="1"/>
        <rFont val="Calibri"/>
        <family val="2"/>
      </rPr>
      <t xml:space="preserve"> </t>
    </r>
    <r>
      <rPr>
        <sz val="9"/>
        <color theme="1"/>
        <rFont val="맑은 고딕"/>
        <family val="3"/>
        <charset val="129"/>
      </rPr>
      <t>현재일까지의</t>
    </r>
    <r>
      <rPr>
        <sz val="9"/>
        <color theme="1"/>
        <rFont val="Calibri"/>
        <family val="2"/>
      </rPr>
      <t xml:space="preserve"> </t>
    </r>
    <r>
      <rPr>
        <sz val="9"/>
        <color theme="1"/>
        <rFont val="맑은 고딕"/>
        <family val="3"/>
        <charset val="129"/>
      </rPr>
      <t>작업기간을</t>
    </r>
    <r>
      <rPr>
        <sz val="9"/>
        <color theme="1"/>
        <rFont val="Calibri"/>
        <family val="2"/>
      </rPr>
      <t xml:space="preserve"> </t>
    </r>
    <r>
      <rPr>
        <sz val="9"/>
        <color theme="1"/>
        <rFont val="맑은 고딕"/>
        <family val="3"/>
        <charset val="129"/>
      </rPr>
      <t>의미함</t>
    </r>
    <r>
      <rPr>
        <sz val="9"/>
        <color theme="1"/>
        <rFont val="Calibri"/>
        <family val="2"/>
      </rPr>
      <t>(</t>
    </r>
    <r>
      <rPr>
        <sz val="9"/>
        <color theme="1"/>
        <rFont val="맑은 고딕"/>
        <family val="3"/>
        <charset val="129"/>
      </rPr>
      <t>현재</t>
    </r>
    <r>
      <rPr>
        <sz val="9"/>
        <color theme="1"/>
        <rFont val="Calibri"/>
        <family val="2"/>
      </rPr>
      <t xml:space="preserve"> </t>
    </r>
    <r>
      <rPr>
        <sz val="9"/>
        <color theme="1"/>
        <rFont val="맑은 고딕"/>
        <family val="3"/>
        <charset val="129"/>
      </rPr>
      <t>날짜까지</t>
    </r>
    <r>
      <rPr>
        <sz val="9"/>
        <color theme="1"/>
        <rFont val="Calibri"/>
        <family val="2"/>
      </rPr>
      <t xml:space="preserve"> </t>
    </r>
    <r>
      <rPr>
        <sz val="9"/>
        <color theme="1"/>
        <rFont val="맑은 고딕"/>
        <family val="3"/>
        <charset val="129"/>
      </rPr>
      <t>진행되었어야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기간</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</si>
  <si>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진척율</t>
    </r>
    <phoneticPr fontId="1" type="noConversion"/>
  </si>
  <si>
    <r>
      <rPr>
        <sz val="9"/>
        <color theme="1"/>
        <rFont val="맑은 고딕"/>
        <family val="3"/>
        <charset val="129"/>
      </rPr>
      <t>계획작업량</t>
    </r>
    <r>
      <rPr>
        <sz val="9"/>
        <color theme="1"/>
        <rFont val="Calibri"/>
        <family val="2"/>
      </rPr>
      <t>(Man-Day)</t>
    </r>
    <phoneticPr fontId="1" type="noConversion"/>
  </si>
  <si>
    <r>
      <rPr>
        <sz val="9"/>
        <color theme="1"/>
        <rFont val="맑은 고딕"/>
        <family val="3"/>
        <charset val="129"/>
      </rPr>
      <t>계획</t>
    </r>
  </si>
  <si>
    <r>
      <rPr>
        <sz val="9"/>
        <color theme="1"/>
        <rFont val="맑은 고딕"/>
        <family val="3"/>
        <charset val="129"/>
      </rPr>
      <t>계획</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</si>
  <si>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계획</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</si>
  <si>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계획</t>
    </r>
    <r>
      <rPr>
        <sz val="9"/>
        <color theme="1"/>
        <rFont val="Calibri"/>
        <family val="2"/>
      </rPr>
      <t>\n</t>
    </r>
    <r>
      <rPr>
        <sz val="9"/>
        <color theme="1"/>
        <rFont val="맑은 고딕"/>
        <family val="3"/>
        <charset val="129"/>
      </rPr>
      <t>기간</t>
    </r>
  </si>
  <si>
    <r>
      <rPr>
        <sz val="9"/>
        <color theme="1"/>
        <rFont val="맑은 고딕"/>
        <family val="3"/>
        <charset val="129"/>
      </rPr>
      <t>계획</t>
    </r>
    <r>
      <rPr>
        <sz val="9"/>
        <color theme="1"/>
        <rFont val="Calibri"/>
        <family val="2"/>
      </rPr>
      <t>\n</t>
    </r>
    <r>
      <rPr>
        <sz val="9"/>
        <color theme="1"/>
        <rFont val="맑은 고딕"/>
        <family val="3"/>
        <charset val="129"/>
      </rPr>
      <t>작업량</t>
    </r>
  </si>
  <si>
    <r>
      <rPr>
        <sz val="9"/>
        <color theme="1"/>
        <rFont val="맑은 고딕"/>
        <family val="3"/>
        <charset val="129"/>
      </rPr>
      <t>작업필드의</t>
    </r>
    <r>
      <rPr>
        <sz val="9"/>
        <color theme="1"/>
        <rFont val="Calibri"/>
        <family val="2"/>
      </rPr>
      <t xml:space="preserve"> </t>
    </r>
    <r>
      <rPr>
        <sz val="9"/>
        <color theme="1"/>
        <rFont val="맑은 고딕"/>
        <family val="3"/>
        <charset val="129"/>
      </rPr>
      <t>유형을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</si>
  <si>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확장자명을</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</si>
  <si>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산출물이</t>
    </r>
    <r>
      <rPr>
        <sz val="9"/>
        <color theme="1"/>
        <rFont val="Calibri"/>
        <family val="2"/>
      </rPr>
      <t xml:space="preserve"> </t>
    </r>
    <r>
      <rPr>
        <sz val="9"/>
        <color theme="1"/>
        <rFont val="맑은 고딕"/>
        <family val="3"/>
        <charset val="129"/>
      </rPr>
      <t>저장될</t>
    </r>
    <r>
      <rPr>
        <sz val="9"/>
        <color theme="1"/>
        <rFont val="Calibri"/>
        <family val="2"/>
      </rPr>
      <t xml:space="preserve"> </t>
    </r>
    <r>
      <rPr>
        <sz val="9"/>
        <color theme="1"/>
        <rFont val="맑은 고딕"/>
        <family val="3"/>
        <charset val="129"/>
      </rPr>
      <t>특정경로를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</si>
  <si>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프로그램</t>
    </r>
    <r>
      <rPr>
        <sz val="9"/>
        <color theme="1"/>
        <rFont val="Calibri"/>
        <family val="2"/>
      </rPr>
      <t xml:space="preserve"> </t>
    </r>
    <r>
      <rPr>
        <sz val="9"/>
        <color theme="1"/>
        <rFont val="맑은 고딕"/>
        <family val="3"/>
        <charset val="129"/>
      </rPr>
      <t>실행경로를</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</si>
  <si>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이</t>
    </r>
    <r>
      <rPr>
        <sz val="9"/>
        <color theme="1"/>
        <rFont val="Calibri"/>
        <family val="2"/>
      </rPr>
      <t xml:space="preserve"> Sheet</t>
    </r>
    <r>
      <rPr>
        <sz val="9"/>
        <color theme="1"/>
        <rFont val="맑은 고딕"/>
        <family val="3"/>
        <charset val="129"/>
      </rPr>
      <t>에서</t>
    </r>
    <r>
      <rPr>
        <sz val="9"/>
        <color theme="1"/>
        <rFont val="Calibri"/>
        <family val="2"/>
      </rPr>
      <t xml:space="preserve"> </t>
    </r>
    <r>
      <rPr>
        <sz val="9"/>
        <color theme="1"/>
        <rFont val="맑은 고딕"/>
        <family val="3"/>
        <charset val="129"/>
      </rPr>
      <t>프로젝트</t>
    </r>
    <r>
      <rPr>
        <sz val="9"/>
        <color theme="1"/>
        <rFont val="Calibri"/>
        <family val="2"/>
      </rPr>
      <t xml:space="preserve"> Calendar</t>
    </r>
    <r>
      <rPr>
        <sz val="9"/>
        <color theme="1"/>
        <rFont val="맑은 고딕"/>
        <family val="3"/>
        <charset val="129"/>
      </rPr>
      <t>를</t>
    </r>
    <r>
      <rPr>
        <sz val="9"/>
        <color theme="1"/>
        <rFont val="Calibri"/>
        <family val="2"/>
      </rPr>
      <t xml:space="preserve"> </t>
    </r>
    <r>
      <rPr>
        <sz val="9"/>
        <color theme="1"/>
        <rFont val="맑은 고딕"/>
        <family val="3"/>
        <charset val="129"/>
      </rPr>
      <t>설정하세요</t>
    </r>
    <r>
      <rPr>
        <sz val="9"/>
        <color theme="1"/>
        <rFont val="Calibri"/>
        <family val="2"/>
      </rPr>
      <t>.</t>
    </r>
  </si>
  <si>
    <r>
      <rPr>
        <sz val="9"/>
        <color theme="1"/>
        <rFont val="맑은 고딕"/>
        <family val="3"/>
        <charset val="129"/>
      </rPr>
      <t>양수이면</t>
    </r>
    <r>
      <rPr>
        <sz val="9"/>
        <color theme="1"/>
        <rFont val="Calibri"/>
        <family val="2"/>
      </rPr>
      <t xml:space="preserve"> </t>
    </r>
    <r>
      <rPr>
        <sz val="9"/>
        <color theme="1"/>
        <rFont val="맑은 고딕"/>
        <family val="3"/>
        <charset val="129"/>
      </rPr>
      <t>계획보다</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t>
    </r>
    <r>
      <rPr>
        <sz val="9"/>
        <color theme="1"/>
        <rFont val="Calibri"/>
        <family val="2"/>
      </rPr>
      <t xml:space="preserve">, </t>
    </r>
    <r>
      <rPr>
        <sz val="9"/>
        <color theme="1"/>
        <rFont val="맑은 고딕"/>
        <family val="3"/>
        <charset val="129"/>
      </rPr>
      <t>음수이면</t>
    </r>
    <r>
      <rPr>
        <sz val="9"/>
        <color theme="1"/>
        <rFont val="Calibri"/>
        <family val="2"/>
      </rPr>
      <t xml:space="preserve"> </t>
    </r>
    <r>
      <rPr>
        <sz val="9"/>
        <color theme="1"/>
        <rFont val="맑은 고딕"/>
        <family val="3"/>
        <charset val="129"/>
      </rPr>
      <t>지연</t>
    </r>
  </si>
  <si>
    <r>
      <rPr>
        <sz val="9"/>
        <color theme="1"/>
        <rFont val="맑은 고딕"/>
        <family val="3"/>
        <charset val="129"/>
      </rPr>
      <t>파워포인트</t>
    </r>
  </si>
  <si>
    <r>
      <rPr>
        <sz val="9"/>
        <color theme="1"/>
        <rFont val="맑은 고딕"/>
        <family val="3"/>
        <charset val="129"/>
      </rPr>
      <t>프로그램</t>
    </r>
    <r>
      <rPr>
        <sz val="9"/>
        <color theme="1"/>
        <rFont val="Calibri"/>
        <family val="2"/>
      </rPr>
      <t xml:space="preserve"> </t>
    </r>
    <r>
      <rPr>
        <sz val="9"/>
        <color theme="1"/>
        <rFont val="맑은 고딕"/>
        <family val="3"/>
        <charset val="129"/>
      </rPr>
      <t>정보</t>
    </r>
  </si>
  <si>
    <r>
      <rPr>
        <sz val="9"/>
        <color theme="1"/>
        <rFont val="맑은 고딕"/>
        <family val="3"/>
        <charset val="129"/>
      </rPr>
      <t>프로그램명</t>
    </r>
  </si>
  <si>
    <r>
      <rPr>
        <sz val="9"/>
        <color theme="1"/>
        <rFont val="맑은 고딕"/>
        <family val="3"/>
        <charset val="129"/>
      </rPr>
      <t>프로그램</t>
    </r>
    <r>
      <rPr>
        <sz val="9"/>
        <color theme="1"/>
        <rFont val="Calibri"/>
        <family val="2"/>
      </rPr>
      <t xml:space="preserve"> </t>
    </r>
    <r>
      <rPr>
        <sz val="9"/>
        <color theme="1"/>
        <rFont val="맑은 고딕"/>
        <family val="3"/>
        <charset val="129"/>
      </rPr>
      <t>사이트</t>
    </r>
  </si>
  <si>
    <r>
      <rPr>
        <sz val="9"/>
        <color theme="1"/>
        <rFont val="맑은 고딕"/>
        <family val="3"/>
        <charset val="129"/>
      </rPr>
      <t>진척율</t>
    </r>
  </si>
  <si>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</si>
  <si>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</si>
  <si>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담당별</t>
    </r>
    <r>
      <rPr>
        <sz val="9"/>
        <color theme="1"/>
        <rFont val="Calibri"/>
        <family val="2"/>
      </rPr>
      <t>\n</t>
    </r>
    <r>
      <rPr>
        <sz val="9"/>
        <color theme="1"/>
        <rFont val="맑은 고딕"/>
        <family val="3"/>
        <charset val="129"/>
      </rPr>
      <t>진행율</t>
    </r>
    <phoneticPr fontId="1" type="noConversion"/>
  </si>
  <si>
    <r>
      <rPr>
        <sz val="9"/>
        <color theme="1"/>
        <rFont val="맑은 고딕"/>
        <family val="3"/>
        <charset val="129"/>
      </rPr>
      <t>프로젝트수행계획서</t>
    </r>
  </si>
  <si>
    <r>
      <rPr>
        <sz val="9"/>
        <color theme="1"/>
        <rFont val="맑은 고딕"/>
        <family val="3"/>
        <charset val="129"/>
      </rPr>
      <t>프로젝트</t>
    </r>
    <r>
      <rPr>
        <sz val="9"/>
        <color theme="1"/>
        <rFont val="Calibri"/>
        <family val="2"/>
      </rPr>
      <t xml:space="preserve"> </t>
    </r>
    <r>
      <rPr>
        <sz val="9"/>
        <color theme="1"/>
        <rFont val="맑은 고딕"/>
        <family val="3"/>
        <charset val="129"/>
      </rPr>
      <t>정보</t>
    </r>
  </si>
  <si>
    <r>
      <rPr>
        <sz val="9"/>
        <color theme="1"/>
        <rFont val="맑은 고딕"/>
        <family val="3"/>
        <charset val="129"/>
      </rPr>
      <t>프로젝트명</t>
    </r>
  </si>
  <si>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관리할때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</si>
  <si>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 xml:space="preserve"> - </t>
    </r>
    <r>
      <rPr>
        <sz val="9"/>
        <color theme="1"/>
        <rFont val="맑은 고딕"/>
        <family val="3"/>
        <charset val="129"/>
      </rPr>
      <t>일정변경</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않을때</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</si>
  <si>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월별</t>
    </r>
    <r>
      <rPr>
        <sz val="9"/>
        <color theme="1"/>
        <rFont val="Calibri"/>
        <family val="2"/>
      </rPr>
      <t>)</t>
    </r>
    <phoneticPr fontId="1" type="noConversion"/>
  </si>
  <si>
    <r>
      <rPr>
        <sz val="9"/>
        <color theme="1"/>
        <rFont val="맑은 고딕"/>
        <family val="3"/>
        <charset val="129"/>
      </rPr>
      <t>프로젝트</t>
    </r>
    <r>
      <rPr>
        <sz val="9"/>
        <color theme="1"/>
        <rFont val="Calibri"/>
        <family val="2"/>
      </rPr>
      <t xml:space="preserve"> </t>
    </r>
    <r>
      <rPr>
        <sz val="9"/>
        <color theme="1"/>
        <rFont val="맑은 고딕"/>
        <family val="3"/>
        <charset val="129"/>
      </rPr>
      <t>진척율</t>
    </r>
    <r>
      <rPr>
        <sz val="9"/>
        <color theme="1"/>
        <rFont val="Calibri"/>
        <family val="2"/>
      </rPr>
      <t>(</t>
    </r>
    <r>
      <rPr>
        <sz val="9"/>
        <color theme="1"/>
        <rFont val="맑은 고딕"/>
        <family val="3"/>
        <charset val="129"/>
      </rPr>
      <t>주별</t>
    </r>
    <r>
      <rPr>
        <sz val="9"/>
        <color theme="1"/>
        <rFont val="Calibri"/>
        <family val="2"/>
      </rPr>
      <t>)</t>
    </r>
    <phoneticPr fontId="1" type="noConversion"/>
  </si>
  <si>
    <r>
      <rPr>
        <sz val="9"/>
        <color theme="1"/>
        <rFont val="맑은 고딕"/>
        <family val="3"/>
        <charset val="129"/>
      </rPr>
      <t>프로젝트의</t>
    </r>
    <r>
      <rPr>
        <sz val="9"/>
        <color theme="1"/>
        <rFont val="Calibri"/>
        <family val="2"/>
      </rPr>
      <t xml:space="preserve"> </t>
    </r>
    <r>
      <rPr>
        <sz val="9"/>
        <color theme="1"/>
        <rFont val="맑은 고딕"/>
        <family val="3"/>
        <charset val="129"/>
      </rPr>
      <t>현황을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진행율</t>
    </r>
    <r>
      <rPr>
        <sz val="9"/>
        <color theme="1"/>
        <rFont val="Calibri"/>
        <family val="2"/>
      </rPr>
      <t xml:space="preserve">, Workload </t>
    </r>
    <r>
      <rPr>
        <sz val="9"/>
        <color theme="1"/>
        <rFont val="맑은 고딕"/>
        <family val="3"/>
        <charset val="129"/>
      </rPr>
      <t>등의</t>
    </r>
    <r>
      <rPr>
        <sz val="9"/>
        <color theme="1"/>
        <rFont val="Calibri"/>
        <family val="2"/>
      </rPr>
      <t xml:space="preserve"> </t>
    </r>
    <r>
      <rPr>
        <sz val="9"/>
        <color theme="1"/>
        <rFont val="맑은 고딕"/>
        <family val="3"/>
        <charset val="129"/>
      </rPr>
      <t>분석</t>
    </r>
    <r>
      <rPr>
        <sz val="9"/>
        <color theme="1"/>
        <rFont val="Calibri"/>
        <family val="2"/>
      </rPr>
      <t xml:space="preserve"> </t>
    </r>
    <r>
      <rPr>
        <sz val="9"/>
        <color theme="1"/>
        <rFont val="맑은 고딕"/>
        <family val="3"/>
        <charset val="129"/>
      </rPr>
      <t>리포트와</t>
    </r>
    <r>
      <rPr>
        <sz val="9"/>
        <color theme="1"/>
        <rFont val="Calibri"/>
        <family val="2"/>
      </rPr>
      <t xml:space="preserve"> </t>
    </r>
    <r>
      <rPr>
        <sz val="9"/>
        <color theme="1"/>
        <rFont val="맑은 고딕"/>
        <family val="3"/>
        <charset val="129"/>
      </rPr>
      <t>분석용</t>
    </r>
    <r>
      <rPr>
        <sz val="9"/>
        <color theme="1"/>
        <rFont val="Calibri"/>
        <family val="2"/>
      </rPr>
      <t xml:space="preserve"> Workload data</t>
    </r>
    <r>
      <rPr>
        <sz val="9"/>
        <color theme="1"/>
        <rFont val="맑은 고딕"/>
        <family val="3"/>
        <charset val="129"/>
      </rPr>
      <t>를</t>
    </r>
    <r>
      <rPr>
        <sz val="9"/>
        <color theme="1"/>
        <rFont val="Calibri"/>
        <family val="2"/>
      </rPr>
      <t xml:space="preserve"> </t>
    </r>
    <r>
      <rPr>
        <sz val="9"/>
        <color theme="1"/>
        <rFont val="맑은 고딕"/>
        <family val="3"/>
        <charset val="129"/>
      </rPr>
      <t>제공한다</t>
    </r>
    <r>
      <rPr>
        <sz val="9"/>
        <color theme="1"/>
        <rFont val="Calibri"/>
        <family val="2"/>
      </rPr>
      <t>.</t>
    </r>
    <phoneticPr fontId="1" type="noConversion"/>
  </si>
  <si>
    <r>
      <rPr>
        <sz val="9"/>
        <color theme="1"/>
        <rFont val="맑은 고딕"/>
        <family val="3"/>
        <charset val="129"/>
      </rPr>
      <t>퍼플</t>
    </r>
    <phoneticPr fontId="1" type="noConversion"/>
  </si>
  <si>
    <r>
      <rPr>
        <sz val="9"/>
        <color theme="1"/>
        <rFont val="맑은 고딕"/>
        <family val="3"/>
        <charset val="129"/>
      </rPr>
      <t>가져오기</t>
    </r>
    <r>
      <rPr>
        <sz val="9"/>
        <color theme="1"/>
        <rFont val="Calibri"/>
        <family val="2"/>
      </rPr>
      <t xml:space="preserve"> </t>
    </r>
    <r>
      <rPr>
        <sz val="9"/>
        <color theme="1"/>
        <rFont val="맑은 고딕"/>
        <family val="3"/>
        <charset val="129"/>
      </rPr>
      <t>후</t>
    </r>
    <r>
      <rPr>
        <sz val="9"/>
        <color theme="1"/>
        <rFont val="Calibri"/>
        <family val="2"/>
      </rPr>
      <t xml:space="preserve"> WBS</t>
    </r>
    <r>
      <rPr>
        <sz val="9"/>
        <color theme="1"/>
        <rFont val="맑은 고딕"/>
        <family val="3"/>
        <charset val="129"/>
      </rPr>
      <t>영역</t>
    </r>
    <r>
      <rPr>
        <sz val="9"/>
        <color theme="1"/>
        <rFont val="Calibri"/>
        <family val="2"/>
      </rPr>
      <t xml:space="preserve"> </t>
    </r>
    <r>
      <rPr>
        <sz val="9"/>
        <color theme="1"/>
        <rFont val="맑은 고딕"/>
        <family val="3"/>
        <charset val="129"/>
      </rPr>
      <t>재계산</t>
    </r>
    <phoneticPr fontId="1" type="noConversion"/>
  </si>
  <si>
    <r>
      <rPr>
        <sz val="9"/>
        <color theme="1"/>
        <rFont val="맑은 고딕"/>
        <family val="3"/>
        <charset val="129"/>
      </rPr>
      <t>서식</t>
    </r>
    <r>
      <rPr>
        <sz val="9"/>
        <color theme="1"/>
        <rFont val="Calibri"/>
        <family val="2"/>
      </rPr>
      <t>\n</t>
    </r>
    <r>
      <rPr>
        <sz val="9"/>
        <color theme="1"/>
        <rFont val="맑은 고딕"/>
        <family val="3"/>
        <charset val="129"/>
      </rPr>
      <t>재설정</t>
    </r>
    <phoneticPr fontId="1" type="noConversion"/>
  </si>
  <si>
    <r>
      <rPr>
        <sz val="9"/>
        <color theme="1"/>
        <rFont val="맑은 고딕"/>
        <family val="3"/>
        <charset val="129"/>
      </rPr>
      <t>컴퓨터</t>
    </r>
    <r>
      <rPr>
        <sz val="9"/>
        <color theme="1"/>
        <rFont val="Calibri"/>
        <family val="2"/>
      </rPr>
      <t xml:space="preserve"> O/S</t>
    </r>
    <r>
      <rPr>
        <sz val="9"/>
        <color theme="1"/>
        <rFont val="맑은 고딕"/>
        <family val="3"/>
        <charset val="129"/>
      </rPr>
      <t>에</t>
    </r>
    <r>
      <rPr>
        <sz val="9"/>
        <color theme="1"/>
        <rFont val="Calibri"/>
        <family val="2"/>
      </rPr>
      <t xml:space="preserve"> </t>
    </r>
    <r>
      <rPr>
        <sz val="9"/>
        <color theme="1"/>
        <rFont val="맑은 고딕"/>
        <family val="3"/>
        <charset val="129"/>
      </rPr>
      <t>설정된</t>
    </r>
    <r>
      <rPr>
        <sz val="9"/>
        <color theme="1"/>
        <rFont val="Calibri"/>
        <family val="2"/>
      </rPr>
      <t xml:space="preserve"> </t>
    </r>
    <r>
      <rPr>
        <sz val="9"/>
        <color theme="1"/>
        <rFont val="맑은 고딕"/>
        <family val="3"/>
        <charset val="129"/>
      </rPr>
      <t>언어와</t>
    </r>
    <r>
      <rPr>
        <sz val="9"/>
        <color theme="1"/>
        <rFont val="Calibri"/>
        <family val="2"/>
      </rPr>
      <t xml:space="preserve"> </t>
    </r>
    <r>
      <rPr>
        <sz val="9"/>
        <color theme="1"/>
        <rFont val="맑은 고딕"/>
        <family val="3"/>
        <charset val="129"/>
      </rPr>
      <t>관계없이</t>
    </r>
    <r>
      <rPr>
        <sz val="9"/>
        <color theme="1"/>
        <rFont val="Calibri"/>
        <family val="2"/>
      </rPr>
      <t xml:space="preserve"> </t>
    </r>
    <r>
      <rPr>
        <sz val="9"/>
        <color theme="1"/>
        <rFont val="맑은 고딕"/>
        <family val="3"/>
        <charset val="129"/>
      </rPr>
      <t>사용자가</t>
    </r>
    <r>
      <rPr>
        <sz val="9"/>
        <color theme="1"/>
        <rFont val="Calibri"/>
        <family val="2"/>
      </rPr>
      <t xml:space="preserve"> </t>
    </r>
    <r>
      <rPr>
        <sz val="9"/>
        <color theme="1"/>
        <rFont val="맑은 고딕"/>
        <family val="3"/>
        <charset val="129"/>
      </rPr>
      <t>표시할</t>
    </r>
    <r>
      <rPr>
        <sz val="9"/>
        <color theme="1"/>
        <rFont val="Calibri"/>
        <family val="2"/>
      </rPr>
      <t xml:space="preserve"> </t>
    </r>
    <r>
      <rPr>
        <sz val="9"/>
        <color theme="1"/>
        <rFont val="맑은 고딕"/>
        <family val="3"/>
        <charset val="129"/>
      </rPr>
      <t>언어를</t>
    </r>
    <r>
      <rPr>
        <sz val="9"/>
        <color theme="1"/>
        <rFont val="Calibri"/>
        <family val="2"/>
      </rPr>
      <t xml:space="preserve"> </t>
    </r>
    <r>
      <rPr>
        <sz val="9"/>
        <color theme="1"/>
        <rFont val="맑은 고딕"/>
        <family val="3"/>
        <charset val="129"/>
      </rPr>
      <t>직접</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_x000D_
</t>
    </r>
    <r>
      <rPr>
        <sz val="9"/>
        <color theme="1"/>
        <rFont val="맑은 고딕"/>
        <family val="3"/>
        <charset val="129"/>
      </rPr>
      <t>있습니다</t>
    </r>
    <r>
      <rPr>
        <sz val="9"/>
        <color theme="1"/>
        <rFont val="Calibri"/>
        <family val="2"/>
      </rPr>
      <t>.</t>
    </r>
  </si>
  <si>
    <r>
      <rPr>
        <sz val="9"/>
        <color theme="1"/>
        <rFont val="맑은 고딕"/>
        <family val="3"/>
        <charset val="129"/>
      </rPr>
      <t>릴리즈</t>
    </r>
    <r>
      <rPr>
        <sz val="9"/>
        <color theme="1"/>
        <rFont val="Calibri"/>
        <family val="2"/>
      </rPr>
      <t xml:space="preserve"> </t>
    </r>
    <r>
      <rPr>
        <sz val="9"/>
        <color theme="1"/>
        <rFont val="맑은 고딕"/>
        <family val="3"/>
        <charset val="129"/>
      </rPr>
      <t>일자</t>
    </r>
  </si>
  <si>
    <r>
      <rPr>
        <sz val="9"/>
        <color theme="1"/>
        <rFont val="맑은 고딕"/>
        <family val="3"/>
        <charset val="129"/>
      </rPr>
      <t>자원배정비율</t>
    </r>
    <phoneticPr fontId="1" type="noConversion"/>
  </si>
  <si>
    <r>
      <rPr>
        <sz val="9"/>
        <color theme="1"/>
        <rFont val="맑은 고딕"/>
        <family val="3"/>
        <charset val="129"/>
      </rPr>
      <t>자원</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담당자</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등의</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해당</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담당자를</t>
    </r>
    <r>
      <rPr>
        <sz val="9"/>
        <color theme="1"/>
        <rFont val="Calibri"/>
        <family val="2"/>
      </rPr>
      <t xml:space="preserve"> </t>
    </r>
    <r>
      <rPr>
        <sz val="9"/>
        <color theme="1"/>
        <rFont val="맑은 고딕"/>
        <family val="3"/>
        <charset val="129"/>
      </rPr>
      <t>표시합니다</t>
    </r>
  </si>
  <si>
    <r>
      <t xml:space="preserve">Chart </t>
    </r>
    <r>
      <rPr>
        <sz val="9"/>
        <color theme="1"/>
        <rFont val="맑은 고딕"/>
        <family val="3"/>
        <charset val="129"/>
      </rPr>
      <t>오른쪽</t>
    </r>
  </si>
  <si>
    <r>
      <rPr>
        <sz val="9"/>
        <color theme="1"/>
        <rFont val="맑은 고딕"/>
        <family val="3"/>
        <charset val="129"/>
      </rPr>
      <t>가져온</t>
    </r>
    <r>
      <rPr>
        <sz val="9"/>
        <color theme="1"/>
        <rFont val="Calibri"/>
        <family val="2"/>
      </rPr>
      <t xml:space="preserve"> </t>
    </r>
    <r>
      <rPr>
        <sz val="9"/>
        <color theme="1"/>
        <rFont val="맑은 고딕"/>
        <family val="3"/>
        <charset val="129"/>
      </rPr>
      <t>자료의</t>
    </r>
    <r>
      <rPr>
        <sz val="9"/>
        <color theme="1"/>
        <rFont val="Calibri"/>
        <family val="2"/>
      </rPr>
      <t xml:space="preserve"> </t>
    </r>
    <r>
      <rPr>
        <sz val="9"/>
        <color theme="1"/>
        <rFont val="맑은 고딕"/>
        <family val="3"/>
        <charset val="129"/>
      </rPr>
      <t>행수</t>
    </r>
    <r>
      <rPr>
        <sz val="9"/>
        <color theme="1"/>
        <rFont val="Calibri"/>
        <family val="2"/>
      </rPr>
      <t xml:space="preserve"> : </t>
    </r>
  </si>
  <si>
    <r>
      <t>File</t>
    </r>
    <r>
      <rPr>
        <sz val="9"/>
        <color theme="1"/>
        <rFont val="맑은 고딕"/>
        <family val="3"/>
        <charset val="129"/>
      </rPr>
      <t>저장시</t>
    </r>
    <r>
      <rPr>
        <sz val="9"/>
        <color theme="1"/>
        <rFont val="Calibri"/>
        <family val="2"/>
      </rPr>
      <t xml:space="preserve"> "</t>
    </r>
    <r>
      <rPr>
        <sz val="9"/>
        <color theme="1"/>
        <rFont val="맑은 고딕"/>
        <family val="3"/>
        <charset val="129"/>
      </rPr>
      <t>스케줄업데이트</t>
    </r>
    <r>
      <rPr>
        <sz val="9"/>
        <color theme="1"/>
        <rFont val="Calibri"/>
        <family val="2"/>
      </rPr>
      <t xml:space="preserve">" </t>
    </r>
    <r>
      <rPr>
        <sz val="9"/>
        <color theme="1"/>
        <rFont val="맑은 고딕"/>
        <family val="3"/>
        <charset val="129"/>
      </rPr>
      <t>실행</t>
    </r>
    <phoneticPr fontId="1" type="noConversion"/>
  </si>
  <si>
    <r>
      <rPr>
        <sz val="9"/>
        <color theme="1"/>
        <rFont val="맑은 고딕"/>
        <family val="3"/>
        <charset val="129"/>
      </rPr>
      <t>토</t>
    </r>
  </si>
  <si>
    <r>
      <rPr>
        <sz val="9"/>
        <color theme="1"/>
        <rFont val="맑은 고딕"/>
        <family val="3"/>
        <charset val="129"/>
      </rPr>
      <t>저장</t>
    </r>
  </si>
  <si>
    <r>
      <rPr>
        <sz val="9"/>
        <color theme="1"/>
        <rFont val="맑은 고딕"/>
        <family val="3"/>
        <charset val="129"/>
      </rPr>
      <t>일정계획</t>
    </r>
    <r>
      <rPr>
        <sz val="9"/>
        <color theme="1"/>
        <rFont val="Calibri"/>
        <family val="2"/>
      </rPr>
      <t xml:space="preserve"> </t>
    </r>
    <r>
      <rPr>
        <sz val="9"/>
        <color theme="1"/>
        <rFont val="맑은 고딕"/>
        <family val="3"/>
        <charset val="129"/>
      </rPr>
      <t>변경관리</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</si>
  <si>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완료되었습니다</t>
    </r>
    <r>
      <rPr>
        <sz val="9"/>
        <color theme="1"/>
        <rFont val="Calibri"/>
        <family val="2"/>
      </rPr>
      <t>.</t>
    </r>
  </si>
  <si>
    <r>
      <rPr>
        <sz val="9"/>
        <color theme="1"/>
        <rFont val="맑은 고딕"/>
        <family val="3"/>
        <charset val="129"/>
      </rPr>
      <t>계획대비</t>
    </r>
    <r>
      <rPr>
        <sz val="9"/>
        <color theme="1"/>
        <rFont val="Calibri"/>
        <family val="2"/>
      </rPr>
      <t xml:space="preserve"> </t>
    </r>
    <r>
      <rPr>
        <sz val="9"/>
        <color theme="1"/>
        <rFont val="맑은 고딕"/>
        <family val="3"/>
        <charset val="129"/>
      </rPr>
      <t>실적</t>
    </r>
    <r>
      <rPr>
        <sz val="9"/>
        <color theme="1"/>
        <rFont val="Calibri"/>
        <family val="2"/>
      </rPr>
      <t xml:space="preserve"> </t>
    </r>
    <r>
      <rPr>
        <sz val="9"/>
        <color theme="1"/>
        <rFont val="맑은 고딕"/>
        <family val="3"/>
        <charset val="129"/>
      </rPr>
      <t>차이</t>
    </r>
    <phoneticPr fontId="1" type="noConversion"/>
  </si>
  <si>
    <r>
      <rPr>
        <sz val="9"/>
        <color theme="1"/>
        <rFont val="맑은 고딕"/>
        <family val="3"/>
        <charset val="129"/>
      </rPr>
      <t>차이</t>
    </r>
    <r>
      <rPr>
        <sz val="9"/>
        <color theme="1"/>
        <rFont val="Calibri"/>
        <family val="2"/>
      </rPr>
      <t>(B-A)</t>
    </r>
  </si>
  <si>
    <r>
      <rPr>
        <sz val="9"/>
        <color theme="1"/>
        <rFont val="맑은 고딕"/>
        <family val="3"/>
        <charset val="129"/>
      </rPr>
      <t>가져올</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선택하세요</t>
    </r>
    <r>
      <rPr>
        <sz val="9"/>
        <color theme="1"/>
        <rFont val="Calibri"/>
        <family val="2"/>
      </rPr>
      <t>(</t>
    </r>
    <r>
      <rPr>
        <sz val="9"/>
        <color theme="1"/>
        <rFont val="맑은 고딕"/>
        <family val="3"/>
        <charset val="129"/>
      </rPr>
      <t>다중선택가능</t>
    </r>
    <r>
      <rPr>
        <sz val="9"/>
        <color theme="1"/>
        <rFont val="Calibri"/>
        <family val="2"/>
      </rPr>
      <t>)</t>
    </r>
  </si>
  <si>
    <r>
      <t>Task</t>
    </r>
    <r>
      <rPr>
        <sz val="9"/>
        <color theme="1"/>
        <rFont val="맑은 고딕"/>
        <family val="3"/>
        <charset val="129"/>
      </rPr>
      <t>의</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기간으로</t>
    </r>
    <r>
      <rPr>
        <sz val="9"/>
        <color theme="1"/>
        <rFont val="Calibri"/>
        <family val="2"/>
      </rPr>
      <t xml:space="preserve"> </t>
    </r>
    <r>
      <rPr>
        <sz val="9"/>
        <color theme="1"/>
        <rFont val="맑은 고딕"/>
        <family val="3"/>
        <charset val="129"/>
      </rPr>
      <t>자동설정</t>
    </r>
  </si>
  <si>
    <r>
      <rPr>
        <sz val="9"/>
        <color theme="1"/>
        <rFont val="맑은 고딕"/>
        <family val="3"/>
        <charset val="129"/>
      </rPr>
      <t>작업명으로</t>
    </r>
    <r>
      <rPr>
        <sz val="9"/>
        <color theme="1"/>
        <rFont val="Calibri"/>
        <family val="2"/>
      </rPr>
      <t xml:space="preserve"> </t>
    </r>
    <r>
      <rPr>
        <sz val="9"/>
        <color theme="1"/>
        <rFont val="맑은 고딕"/>
        <family val="3"/>
        <charset val="129"/>
      </rPr>
      <t>경로</t>
    </r>
    <r>
      <rPr>
        <sz val="9"/>
        <color theme="1"/>
        <rFont val="Calibri"/>
        <family val="2"/>
      </rPr>
      <t xml:space="preserve"> </t>
    </r>
    <r>
      <rPr>
        <sz val="9"/>
        <color theme="1"/>
        <rFont val="맑은 고딕"/>
        <family val="3"/>
        <charset val="129"/>
      </rPr>
      <t>자동지정</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자동지정된</t>
    </r>
    <r>
      <rPr>
        <sz val="9"/>
        <color theme="1"/>
        <rFont val="Calibri"/>
        <family val="2"/>
      </rPr>
      <t xml:space="preserve"> </t>
    </r>
    <r>
      <rPr>
        <sz val="9"/>
        <color theme="1"/>
        <rFont val="맑은 고딕"/>
        <family val="3"/>
        <charset val="129"/>
      </rPr>
      <t>경로의</t>
    </r>
    <r>
      <rPr>
        <sz val="9"/>
        <color theme="1"/>
        <rFont val="Calibri"/>
        <family val="2"/>
      </rPr>
      <t xml:space="preserve"> </t>
    </r>
    <r>
      <rPr>
        <sz val="9"/>
        <color theme="1"/>
        <rFont val="맑은 고딕"/>
        <family val="3"/>
        <charset val="129"/>
      </rPr>
      <t>상위경로를</t>
    </r>
    <r>
      <rPr>
        <sz val="9"/>
        <color theme="1"/>
        <rFont val="Calibri"/>
        <family val="2"/>
      </rPr>
      <t xml:space="preserve"> </t>
    </r>
    <r>
      <rPr>
        <sz val="9"/>
        <color theme="1"/>
        <rFont val="맑은 고딕"/>
        <family val="3"/>
        <charset val="129"/>
      </rPr>
      <t>입력</t>
    </r>
    <r>
      <rPr>
        <sz val="9"/>
        <color theme="1"/>
        <rFont val="Calibri"/>
        <family val="2"/>
      </rPr>
      <t xml:space="preserve">) </t>
    </r>
  </si>
  <si>
    <r>
      <rPr>
        <sz val="9"/>
        <color theme="1"/>
        <rFont val="맑은 고딕"/>
        <family val="3"/>
        <charset val="129"/>
      </rPr>
      <t>산출물열기</t>
    </r>
    <r>
      <rPr>
        <sz val="9"/>
        <color theme="1"/>
        <rFont val="Calibri"/>
        <family val="2"/>
      </rPr>
      <t xml:space="preserve"> </t>
    </r>
    <r>
      <rPr>
        <sz val="9"/>
        <color theme="1"/>
        <rFont val="맑은 고딕"/>
        <family val="3"/>
        <charset val="129"/>
      </rPr>
      <t>프로그램</t>
    </r>
    <r>
      <rPr>
        <sz val="9"/>
        <color theme="1"/>
        <rFont val="Calibri"/>
        <family val="2"/>
      </rPr>
      <t xml:space="preserve"> </t>
    </r>
    <r>
      <rPr>
        <sz val="9"/>
        <color theme="1"/>
        <rFont val="맑은 고딕"/>
        <family val="3"/>
        <charset val="129"/>
      </rPr>
      <t>실행경로</t>
    </r>
    <r>
      <rPr>
        <sz val="9"/>
        <color theme="1"/>
        <rFont val="Calibri"/>
        <family val="2"/>
      </rPr>
      <t xml:space="preserve"> </t>
    </r>
    <r>
      <rPr>
        <sz val="9"/>
        <color theme="1"/>
        <rFont val="맑은 고딕"/>
        <family val="3"/>
        <charset val="129"/>
      </rPr>
      <t>지정</t>
    </r>
  </si>
  <si>
    <r>
      <rPr>
        <sz val="9"/>
        <color theme="1"/>
        <rFont val="맑은 고딕"/>
        <family val="3"/>
        <charset val="129"/>
      </rPr>
      <t>산출물</t>
    </r>
    <r>
      <rPr>
        <sz val="9"/>
        <color theme="1"/>
        <rFont val="Calibri"/>
        <family val="2"/>
      </rPr>
      <t xml:space="preserve"> </t>
    </r>
    <r>
      <rPr>
        <sz val="9"/>
        <color theme="1"/>
        <rFont val="맑은 고딕"/>
        <family val="3"/>
        <charset val="129"/>
      </rPr>
      <t>저장경로</t>
    </r>
  </si>
  <si>
    <r>
      <rPr>
        <sz val="9"/>
        <color theme="1"/>
        <rFont val="맑은 고딕"/>
        <family val="3"/>
        <charset val="129"/>
      </rPr>
      <t>프로젝트의</t>
    </r>
    <r>
      <rPr>
        <sz val="9"/>
        <color theme="1"/>
        <rFont val="Calibri"/>
        <family val="2"/>
      </rPr>
      <t xml:space="preserve"> </t>
    </r>
    <r>
      <rPr>
        <sz val="9"/>
        <color theme="1"/>
        <rFont val="맑은 고딕"/>
        <family val="3"/>
        <charset val="129"/>
      </rPr>
      <t>휴무일을</t>
    </r>
    <r>
      <rPr>
        <sz val="9"/>
        <color theme="1"/>
        <rFont val="Calibri"/>
        <family val="2"/>
      </rPr>
      <t xml:space="preserve"> </t>
    </r>
    <r>
      <rPr>
        <sz val="9"/>
        <color theme="1"/>
        <rFont val="맑은 고딕"/>
        <family val="3"/>
        <charset val="129"/>
      </rPr>
      <t>설정한다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</si>
  <si>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표시방법</t>
    </r>
    <r>
      <rPr>
        <sz val="9"/>
        <color theme="1"/>
        <rFont val="Calibri"/>
        <family val="2"/>
      </rPr>
      <t xml:space="preserve"> </t>
    </r>
    <r>
      <rPr>
        <sz val="9"/>
        <color theme="1"/>
        <rFont val="맑은 고딕"/>
        <family val="3"/>
        <charset val="129"/>
      </rPr>
      <t>설정</t>
    </r>
  </si>
  <si>
    <r>
      <rPr>
        <sz val="9"/>
        <color theme="1"/>
        <rFont val="맑은 고딕"/>
        <family val="3"/>
        <charset val="129"/>
      </rPr>
      <t>설정</t>
    </r>
  </si>
  <si>
    <r>
      <rPr>
        <sz val="9"/>
        <color theme="1"/>
        <rFont val="맑은 고딕"/>
        <family val="3"/>
        <charset val="129"/>
      </rPr>
      <t>시트</t>
    </r>
    <r>
      <rPr>
        <sz val="9"/>
        <color theme="1"/>
        <rFont val="Calibri"/>
        <family val="2"/>
      </rPr>
      <t xml:space="preserve"> </t>
    </r>
    <r>
      <rPr>
        <sz val="9"/>
        <color theme="1"/>
        <rFont val="맑은 고딕"/>
        <family val="3"/>
        <charset val="129"/>
      </rPr>
      <t>구성</t>
    </r>
    <phoneticPr fontId="1" type="noConversion"/>
  </si>
  <si>
    <r>
      <rPr>
        <sz val="9"/>
        <color theme="1"/>
        <rFont val="맑은 고딕"/>
        <family val="3"/>
        <charset val="129"/>
      </rPr>
      <t>담당별</t>
    </r>
    <r>
      <rPr>
        <sz val="9"/>
        <color theme="1"/>
        <rFont val="Calibri"/>
        <family val="2"/>
      </rPr>
      <t xml:space="preserve"> </t>
    </r>
    <r>
      <rPr>
        <sz val="9"/>
        <color theme="1"/>
        <rFont val="맑은 고딕"/>
        <family val="3"/>
        <charset val="129"/>
      </rPr>
      <t>진행율</t>
    </r>
    <r>
      <rPr>
        <sz val="9"/>
        <color theme="1"/>
        <rFont val="Calibri"/>
        <family val="2"/>
      </rPr>
      <t>, Workload</t>
    </r>
    <r>
      <rPr>
        <sz val="9"/>
        <color theme="1"/>
        <rFont val="맑은 고딕"/>
        <family val="3"/>
        <charset val="129"/>
      </rPr>
      <t>등</t>
    </r>
    <r>
      <rPr>
        <sz val="9"/>
        <color theme="1"/>
        <rFont val="Calibri"/>
        <family val="2"/>
      </rPr>
      <t xml:space="preserve"> </t>
    </r>
    <r>
      <rPr>
        <sz val="9"/>
        <color theme="1"/>
        <rFont val="맑은 고딕"/>
        <family val="3"/>
        <charset val="129"/>
      </rPr>
      <t>분석용</t>
    </r>
    <r>
      <rPr>
        <sz val="9"/>
        <color theme="1"/>
        <rFont val="Calibri"/>
        <family val="2"/>
      </rPr>
      <t xml:space="preserve"> Report</t>
    </r>
    <r>
      <rPr>
        <sz val="9"/>
        <color theme="1"/>
        <rFont val="맑은 고딕"/>
        <family val="3"/>
        <charset val="129"/>
      </rPr>
      <t>를</t>
    </r>
    <r>
      <rPr>
        <sz val="9"/>
        <color theme="1"/>
        <rFont val="Calibri"/>
        <family val="2"/>
      </rPr>
      <t xml:space="preserve"> </t>
    </r>
    <r>
      <rPr>
        <sz val="9"/>
        <color theme="1"/>
        <rFont val="맑은 고딕"/>
        <family val="3"/>
        <charset val="129"/>
      </rPr>
      <t>만들어서</t>
    </r>
    <r>
      <rPr>
        <sz val="9"/>
        <color theme="1"/>
        <rFont val="Calibri"/>
        <family val="2"/>
      </rPr>
      <t xml:space="preserve"> </t>
    </r>
    <r>
      <rPr>
        <sz val="9"/>
        <color theme="1"/>
        <rFont val="맑은 고딕"/>
        <family val="3"/>
        <charset val="129"/>
      </rPr>
      <t>보여준다</t>
    </r>
    <r>
      <rPr>
        <sz val="9"/>
        <color theme="1"/>
        <rFont val="Calibri"/>
        <family val="2"/>
      </rPr>
      <t>.</t>
    </r>
  </si>
  <si>
    <r>
      <rPr>
        <sz val="9"/>
        <color theme="1"/>
        <rFont val="맑은 고딕"/>
        <family val="3"/>
        <charset val="129"/>
      </rPr>
      <t>작업량</t>
    </r>
    <r>
      <rPr>
        <sz val="9"/>
        <color theme="1"/>
        <rFont val="Calibri"/>
        <family val="2"/>
      </rPr>
      <t xml:space="preserve">, </t>
    </r>
    <r>
      <rPr>
        <sz val="9"/>
        <color theme="1"/>
        <rFont val="맑은 고딕"/>
        <family val="3"/>
        <charset val="129"/>
      </rPr>
      <t>진척율</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</si>
  <si>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특정날짜</t>
    </r>
  </si>
  <si>
    <r>
      <rPr>
        <sz val="9"/>
        <color theme="1"/>
        <rFont val="맑은 고딕"/>
        <family val="3"/>
        <charset val="129"/>
      </rPr>
      <t>특정</t>
    </r>
    <r>
      <rPr>
        <sz val="9"/>
        <color theme="1"/>
        <rFont val="Calibri"/>
        <family val="2"/>
      </rPr>
      <t xml:space="preserve"> </t>
    </r>
    <r>
      <rPr>
        <sz val="9"/>
        <color theme="1"/>
        <rFont val="맑은 고딕"/>
        <family val="3"/>
        <charset val="129"/>
      </rPr>
      <t>경로</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</si>
  <si>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산출물의</t>
    </r>
    <r>
      <rPr>
        <sz val="9"/>
        <color theme="1"/>
        <rFont val="Calibri"/>
        <family val="2"/>
      </rPr>
      <t xml:space="preserve"> </t>
    </r>
    <r>
      <rPr>
        <sz val="9"/>
        <color theme="1"/>
        <rFont val="맑은 고딕"/>
        <family val="3"/>
        <charset val="129"/>
      </rPr>
      <t>저장</t>
    </r>
    <r>
      <rPr>
        <sz val="9"/>
        <color theme="1"/>
        <rFont val="Calibri"/>
        <family val="2"/>
      </rPr>
      <t xml:space="preserve"> </t>
    </r>
    <r>
      <rPr>
        <sz val="9"/>
        <color theme="1"/>
        <rFont val="맑은 고딕"/>
        <family val="3"/>
        <charset val="129"/>
      </rPr>
      <t>경로</t>
    </r>
    <r>
      <rPr>
        <sz val="9"/>
        <color theme="1"/>
        <rFont val="Calibri"/>
        <family val="2"/>
      </rPr>
      <t>(</t>
    </r>
    <r>
      <rPr>
        <sz val="9"/>
        <color theme="1"/>
        <rFont val="맑은 고딕"/>
        <family val="3"/>
        <charset val="129"/>
      </rPr>
      <t>폴더</t>
    </r>
    <r>
      <rPr>
        <sz val="9"/>
        <color theme="1"/>
        <rFont val="Calibri"/>
        <family val="2"/>
      </rPr>
      <t xml:space="preserve"> </t>
    </r>
    <r>
      <rPr>
        <sz val="9"/>
        <color theme="1"/>
        <rFont val="맑은 고딕"/>
        <family val="3"/>
        <charset val="129"/>
      </rPr>
      <t>위치</t>
    </r>
    <r>
      <rPr>
        <sz val="9"/>
        <color theme="1"/>
        <rFont val="Calibri"/>
        <family val="2"/>
      </rPr>
      <t>)</t>
    </r>
    <r>
      <rPr>
        <sz val="9"/>
        <color theme="1"/>
        <rFont val="맑은 고딕"/>
        <family val="3"/>
        <charset val="129"/>
      </rPr>
      <t>를</t>
    </r>
    <r>
      <rPr>
        <sz val="9"/>
        <color theme="1"/>
        <rFont val="Calibri"/>
        <family val="2"/>
      </rPr>
      <t xml:space="preserve"> </t>
    </r>
    <r>
      <rPr>
        <sz val="9"/>
        <color theme="1"/>
        <rFont val="맑은 고딕"/>
        <family val="3"/>
        <charset val="129"/>
      </rPr>
      <t>지정하고</t>
    </r>
    <r>
      <rPr>
        <sz val="9"/>
        <color theme="1"/>
        <rFont val="Calibri"/>
        <family val="2"/>
      </rPr>
      <t xml:space="preserve"> Schedule</t>
    </r>
    <r>
      <rPr>
        <sz val="9"/>
        <color theme="1"/>
        <rFont val="맑은 고딕"/>
        <family val="3"/>
        <charset val="129"/>
      </rPr>
      <t>시트에서</t>
    </r>
    <r>
      <rPr>
        <sz val="9"/>
        <color theme="1"/>
        <rFont val="Calibri"/>
        <family val="2"/>
      </rPr>
      <t xml:space="preserve"> </t>
    </r>
    <r>
      <rPr>
        <sz val="9"/>
        <color theme="1"/>
        <rFont val="맑은 고딕"/>
        <family val="3"/>
        <charset val="129"/>
      </rPr>
      <t>바로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제공한다</t>
    </r>
    <r>
      <rPr>
        <sz val="9"/>
        <color theme="1"/>
        <rFont val="Calibri"/>
        <family val="2"/>
      </rPr>
      <t xml:space="preserve">. </t>
    </r>
    <r>
      <rPr>
        <sz val="9"/>
        <color theme="1"/>
        <rFont val="맑은 고딕"/>
        <family val="3"/>
        <charset val="129"/>
      </rPr>
      <t>리본</t>
    </r>
    <r>
      <rPr>
        <sz val="9"/>
        <color theme="1"/>
        <rFont val="Calibri"/>
        <family val="2"/>
      </rPr>
      <t xml:space="preserve"> </t>
    </r>
    <r>
      <rPr>
        <sz val="9"/>
        <color theme="1"/>
        <rFont val="맑은 고딕"/>
        <family val="3"/>
        <charset val="129"/>
      </rPr>
      <t>메뉴에서</t>
    </r>
    <r>
      <rPr>
        <sz val="9"/>
        <color theme="1"/>
        <rFont val="Calibri"/>
        <family val="2"/>
      </rPr>
      <t xml:space="preserve"> “</t>
    </r>
    <r>
      <rPr>
        <sz val="9"/>
        <color theme="1"/>
        <rFont val="맑은 고딕"/>
        <family val="3"/>
        <charset val="129"/>
      </rPr>
      <t>옵션</t>
    </r>
    <r>
      <rPr>
        <sz val="9"/>
        <color theme="1"/>
        <rFont val="Calibri"/>
        <family val="2"/>
      </rPr>
      <t xml:space="preserve">” </t>
    </r>
    <r>
      <rPr>
        <sz val="9"/>
        <color theme="1"/>
        <rFont val="맑은 고딕"/>
        <family val="3"/>
        <charset val="129"/>
      </rPr>
      <t>버튼을</t>
    </r>
    <r>
      <rPr>
        <sz val="9"/>
        <color theme="1"/>
        <rFont val="Calibri"/>
        <family val="2"/>
      </rPr>
      <t xml:space="preserve"> </t>
    </r>
    <r>
      <rPr>
        <sz val="9"/>
        <color theme="1"/>
        <rFont val="맑은 고딕"/>
        <family val="3"/>
        <charset val="129"/>
      </rPr>
      <t>클릭하면</t>
    </r>
    <r>
      <rPr>
        <sz val="9"/>
        <color theme="1"/>
        <rFont val="Calibri"/>
        <family val="2"/>
      </rPr>
      <t xml:space="preserve">  “</t>
    </r>
    <r>
      <rPr>
        <sz val="9"/>
        <color theme="1"/>
        <rFont val="맑은 고딕"/>
        <family val="3"/>
        <charset val="129"/>
      </rPr>
      <t>산출물</t>
    </r>
    <r>
      <rPr>
        <sz val="9"/>
        <color theme="1"/>
        <rFont val="Calibri"/>
        <family val="2"/>
      </rPr>
      <t>”</t>
    </r>
    <r>
      <rPr>
        <sz val="9"/>
        <color theme="1"/>
        <rFont val="맑은 고딕"/>
        <family val="3"/>
        <charset val="129"/>
      </rPr>
      <t>과</t>
    </r>
    <r>
      <rPr>
        <sz val="9"/>
        <color theme="1"/>
        <rFont val="Calibri"/>
        <family val="2"/>
      </rPr>
      <t xml:space="preserve"> </t>
    </r>
    <r>
      <rPr>
        <sz val="9"/>
        <color theme="1"/>
        <rFont val="맑은 고딕"/>
        <family val="3"/>
        <charset val="129"/>
      </rPr>
      <t>관련된</t>
    </r>
    <r>
      <rPr>
        <sz val="9"/>
        <color theme="1"/>
        <rFont val="Calibri"/>
        <family val="2"/>
      </rPr>
      <t xml:space="preserve"> </t>
    </r>
    <r>
      <rPr>
        <sz val="9"/>
        <color theme="1"/>
        <rFont val="맑은 고딕"/>
        <family val="3"/>
        <charset val="129"/>
      </rPr>
      <t>설정을</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</si>
  <si>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표준캘린더</t>
    </r>
  </si>
  <si>
    <r>
      <rPr>
        <sz val="9"/>
        <color theme="1"/>
        <rFont val="맑은 고딕"/>
        <family val="3"/>
        <charset val="129"/>
      </rPr>
      <t>별</t>
    </r>
    <r>
      <rPr>
        <sz val="9"/>
        <color theme="1"/>
        <rFont val="Calibri"/>
        <family val="2"/>
      </rPr>
      <t>(*)</t>
    </r>
    <r>
      <rPr>
        <sz val="9"/>
        <color theme="1"/>
        <rFont val="맑은 고딕"/>
        <family val="3"/>
        <charset val="129"/>
      </rPr>
      <t>표시는</t>
    </r>
    <r>
      <rPr>
        <sz val="9"/>
        <color theme="1"/>
        <rFont val="Calibri"/>
        <family val="2"/>
      </rPr>
      <t xml:space="preserve"> </t>
    </r>
    <r>
      <rPr>
        <sz val="9"/>
        <color theme="1"/>
        <rFont val="맑은 고딕"/>
        <family val="3"/>
        <charset val="129"/>
      </rPr>
      <t>필수입력</t>
    </r>
    <phoneticPr fontId="1" type="noConversion"/>
  </si>
  <si>
    <r>
      <rPr>
        <sz val="9"/>
        <color theme="1"/>
        <rFont val="맑은 고딕"/>
        <family val="3"/>
        <charset val="129"/>
      </rPr>
      <t>시작일</t>
    </r>
  </si>
  <si>
    <r>
      <rPr>
        <sz val="9"/>
        <color theme="1"/>
        <rFont val="맑은 고딕"/>
        <family val="3"/>
        <charset val="129"/>
      </rPr>
      <t>시작일자</t>
    </r>
  </si>
  <si>
    <r>
      <rPr>
        <sz val="9"/>
        <color theme="1"/>
        <rFont val="맑은 고딕"/>
        <family val="3"/>
        <charset val="129"/>
      </rPr>
      <t>각</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표시합니다</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날짜</t>
    </r>
    <r>
      <rPr>
        <sz val="9"/>
        <color theme="1"/>
        <rFont val="Calibri"/>
        <family val="2"/>
      </rPr>
      <t xml:space="preserve"> </t>
    </r>
    <r>
      <rPr>
        <sz val="9"/>
        <color theme="1"/>
        <rFont val="맑은 고딕"/>
        <family val="3"/>
        <charset val="129"/>
      </rPr>
      <t>형식이어야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</si>
  <si>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작업시작일의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</si>
  <si>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시작일자에</t>
    </r>
    <r>
      <rPr>
        <sz val="9"/>
        <color theme="1"/>
        <rFont val="Calibri"/>
        <family val="2"/>
      </rPr>
      <t xml:space="preserve"> </t>
    </r>
    <r>
      <rPr>
        <sz val="9"/>
        <color theme="1"/>
        <rFont val="맑은 고딕"/>
        <family val="3"/>
        <charset val="129"/>
      </rPr>
      <t>날짜가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</si>
  <si>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계획과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날짜에</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</si>
  <si>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일찍</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</si>
  <si>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계획보다</t>
    </r>
    <r>
      <rPr>
        <sz val="9"/>
        <color theme="1"/>
        <rFont val="Calibri"/>
        <family val="2"/>
      </rPr>
      <t xml:space="preserve"> </t>
    </r>
    <r>
      <rPr>
        <sz val="9"/>
        <color theme="1"/>
        <rFont val="맑은 고딕"/>
        <family val="3"/>
        <charset val="129"/>
      </rPr>
      <t>늦게</t>
    </r>
    <r>
      <rPr>
        <sz val="9"/>
        <color theme="1"/>
        <rFont val="Calibri"/>
        <family val="2"/>
      </rPr>
      <t xml:space="preserve"> </t>
    </r>
    <r>
      <rPr>
        <sz val="9"/>
        <color theme="1"/>
        <rFont val="맑은 고딕"/>
        <family val="3"/>
        <charset val="129"/>
      </rPr>
      <t>시작됨</t>
    </r>
    <phoneticPr fontId="1" type="noConversion"/>
  </si>
  <si>
    <r>
      <rPr>
        <sz val="9"/>
        <color theme="1"/>
        <rFont val="맑은 고딕"/>
        <family val="3"/>
        <charset val="129"/>
      </rPr>
      <t>시작일</t>
    </r>
    <r>
      <rPr>
        <sz val="9"/>
        <color theme="1"/>
        <rFont val="Calibri"/>
        <family val="2"/>
      </rPr>
      <t>-</t>
    </r>
    <r>
      <rPr>
        <sz val="9"/>
        <color theme="1"/>
        <rFont val="맑은 고딕"/>
        <family val="3"/>
        <charset val="129"/>
      </rPr>
      <t>완료일</t>
    </r>
  </si>
  <si>
    <r>
      <rPr>
        <sz val="9"/>
        <color theme="1"/>
        <rFont val="맑은 고딕"/>
        <family val="3"/>
        <charset val="129"/>
      </rPr>
      <t>가져오기가</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완료되었습니다</t>
    </r>
    <r>
      <rPr>
        <sz val="9"/>
        <color theme="1"/>
        <rFont val="Calibri"/>
        <family val="2"/>
      </rPr>
      <t>.</t>
    </r>
    <phoneticPr fontId="1" type="noConversion"/>
  </si>
  <si>
    <r>
      <rPr>
        <sz val="9"/>
        <color theme="1"/>
        <rFont val="맑은 고딕"/>
        <family val="3"/>
        <charset val="129"/>
      </rPr>
      <t>일</t>
    </r>
  </si>
  <si>
    <r>
      <rPr>
        <sz val="9"/>
        <color theme="1"/>
        <rFont val="맑은 고딕"/>
        <family val="3"/>
        <charset val="129"/>
      </rPr>
      <t>체계</t>
    </r>
    <r>
      <rPr>
        <sz val="9"/>
        <color theme="1"/>
        <rFont val="Calibri"/>
        <family val="2"/>
      </rPr>
      <t xml:space="preserve"> 1</t>
    </r>
    <phoneticPr fontId="1" type="noConversion"/>
  </si>
  <si>
    <r>
      <rPr>
        <sz val="9"/>
        <color theme="1"/>
        <rFont val="맑은 고딕"/>
        <family val="3"/>
        <charset val="129"/>
      </rPr>
      <t>체계</t>
    </r>
    <r>
      <rPr>
        <sz val="9"/>
        <color theme="1"/>
        <rFont val="Calibri"/>
        <family val="2"/>
      </rPr>
      <t xml:space="preserve"> 2</t>
    </r>
  </si>
  <si>
    <r>
      <rPr>
        <sz val="9"/>
        <color theme="1"/>
        <rFont val="맑은 고딕"/>
        <family val="3"/>
        <charset val="129"/>
      </rPr>
      <t>작업</t>
    </r>
    <phoneticPr fontId="1" type="noConversion"/>
  </si>
  <si>
    <r>
      <rPr>
        <sz val="9"/>
        <color theme="1"/>
        <rFont val="맑은 고딕"/>
        <family val="3"/>
        <charset val="129"/>
      </rPr>
      <t>작업영역이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 xml:space="preserve">. </t>
    </r>
    <r>
      <rPr>
        <sz val="9"/>
        <color theme="1"/>
        <rFont val="맑은 고딕"/>
        <family val="3"/>
        <charset val="129"/>
      </rPr>
      <t>영역을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</si>
  <si>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작업입력</t>
    </r>
    <r>
      <rPr>
        <sz val="9"/>
        <color theme="1"/>
        <rFont val="Calibri"/>
        <family val="2"/>
      </rPr>
      <t xml:space="preserve">, </t>
    </r>
    <r>
      <rPr>
        <sz val="9"/>
        <color theme="1"/>
        <rFont val="맑은 고딕"/>
        <family val="3"/>
        <charset val="129"/>
      </rPr>
      <t>스케줄</t>
    </r>
    <r>
      <rPr>
        <sz val="9"/>
        <color theme="1"/>
        <rFont val="Calibri"/>
        <family val="2"/>
      </rPr>
      <t xml:space="preserve"> </t>
    </r>
    <r>
      <rPr>
        <sz val="9"/>
        <color theme="1"/>
        <rFont val="맑은 고딕"/>
        <family val="3"/>
        <charset val="129"/>
      </rPr>
      <t>업데이트</t>
    </r>
  </si>
  <si>
    <r>
      <rPr>
        <sz val="9"/>
        <color theme="1"/>
        <rFont val="맑은 고딕"/>
        <family val="3"/>
        <charset val="129"/>
      </rPr>
      <t>작업명</t>
    </r>
  </si>
  <si>
    <r>
      <rPr>
        <sz val="9"/>
        <color theme="1"/>
        <rFont val="맑은 고딕"/>
        <family val="3"/>
        <charset val="129"/>
      </rPr>
      <t>작업명</t>
    </r>
    <r>
      <rPr>
        <sz val="9"/>
        <color theme="1"/>
        <rFont val="Calibri"/>
        <family val="2"/>
      </rPr>
      <t xml:space="preserve"> </t>
    </r>
    <r>
      <rPr>
        <sz val="9"/>
        <color theme="1"/>
        <rFont val="맑은 고딕"/>
        <family val="3"/>
        <charset val="129"/>
      </rPr>
      <t>필드입니다</t>
    </r>
    <r>
      <rPr>
        <sz val="9"/>
        <color theme="1"/>
        <rFont val="Calibri"/>
        <family val="2"/>
      </rPr>
      <t xml:space="preserve">. </t>
    </r>
    <r>
      <rPr>
        <sz val="9"/>
        <color theme="1"/>
        <rFont val="맑은 고딕"/>
        <family val="3"/>
        <charset val="129"/>
      </rPr>
      <t>이름</t>
    </r>
    <r>
      <rPr>
        <sz val="9"/>
        <color theme="1"/>
        <rFont val="Calibri"/>
        <family val="2"/>
      </rPr>
      <t>, Task, Activity</t>
    </r>
    <r>
      <rPr>
        <sz val="9"/>
        <color theme="1"/>
        <rFont val="맑은 고딕"/>
        <family val="3"/>
        <charset val="129"/>
      </rPr>
      <t>등</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이름으로</t>
    </r>
    <r>
      <rPr>
        <sz val="9"/>
        <color theme="1"/>
        <rFont val="Calibri"/>
        <family val="2"/>
      </rPr>
      <t xml:space="preserve"> </t>
    </r>
    <r>
      <rPr>
        <sz val="9"/>
        <color theme="1"/>
        <rFont val="맑은 고딕"/>
        <family val="3"/>
        <charset val="129"/>
      </rPr>
      <t>불리기도</t>
    </r>
    <r>
      <rPr>
        <sz val="9"/>
        <color theme="1"/>
        <rFont val="Calibri"/>
        <family val="2"/>
      </rPr>
      <t xml:space="preserve"> </t>
    </r>
    <r>
      <rPr>
        <sz val="9"/>
        <color theme="1"/>
        <rFont val="맑은 고딕"/>
        <family val="3"/>
        <charset val="129"/>
      </rPr>
      <t>합니다</t>
    </r>
    <r>
      <rPr>
        <sz val="9"/>
        <color theme="1"/>
        <rFont val="Calibri"/>
        <family val="2"/>
      </rPr>
      <t xml:space="preserve">. </t>
    </r>
    <r>
      <rPr>
        <sz val="9"/>
        <color theme="1"/>
        <rFont val="맑은 고딕"/>
        <family val="3"/>
        <charset val="129"/>
      </rPr>
      <t>작업의</t>
    </r>
    <r>
      <rPr>
        <sz val="9"/>
        <color theme="1"/>
        <rFont val="Calibri"/>
        <family val="2"/>
      </rPr>
      <t xml:space="preserve"> Level</t>
    </r>
    <r>
      <rPr>
        <sz val="9"/>
        <color theme="1"/>
        <rFont val="맑은 고딕"/>
        <family val="3"/>
        <charset val="129"/>
      </rPr>
      <t>에</t>
    </r>
    <r>
      <rPr>
        <sz val="9"/>
        <color theme="1"/>
        <rFont val="Calibri"/>
        <family val="2"/>
      </rPr>
      <t xml:space="preserve"> </t>
    </r>
    <r>
      <rPr>
        <sz val="9"/>
        <color theme="1"/>
        <rFont val="맑은 고딕"/>
        <family val="3"/>
        <charset val="129"/>
      </rPr>
      <t>따라</t>
    </r>
    <r>
      <rPr>
        <sz val="9"/>
        <color theme="1"/>
        <rFont val="Calibri"/>
        <family val="2"/>
      </rPr>
      <t xml:space="preserve"> </t>
    </r>
    <r>
      <rPr>
        <sz val="9"/>
        <color theme="1"/>
        <rFont val="맑은 고딕"/>
        <family val="3"/>
        <charset val="129"/>
      </rPr>
      <t>표시하는</t>
    </r>
    <r>
      <rPr>
        <sz val="9"/>
        <color theme="1"/>
        <rFont val="Calibri"/>
        <family val="2"/>
      </rPr>
      <t xml:space="preserve"> </t>
    </r>
    <r>
      <rPr>
        <sz val="9"/>
        <color theme="1"/>
        <rFont val="맑은 고딕"/>
        <family val="3"/>
        <charset val="129"/>
      </rPr>
      <t>방식이</t>
    </r>
    <r>
      <rPr>
        <sz val="9"/>
        <color theme="1"/>
        <rFont val="Calibri"/>
        <family val="2"/>
      </rPr>
      <t xml:space="preserve"> </t>
    </r>
    <r>
      <rPr>
        <sz val="9"/>
        <color theme="1"/>
        <rFont val="맑은 고딕"/>
        <family val="3"/>
        <charset val="129"/>
      </rPr>
      <t>다를</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Level</t>
    </r>
    <r>
      <rPr>
        <sz val="9"/>
        <color theme="1"/>
        <rFont val="맑은 고딕"/>
        <family val="3"/>
        <charset val="129"/>
      </rPr>
      <t>별로</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표시되는</t>
    </r>
    <r>
      <rPr>
        <sz val="9"/>
        <color theme="1"/>
        <rFont val="Calibri"/>
        <family val="2"/>
      </rPr>
      <t xml:space="preserve"> </t>
    </r>
    <r>
      <rPr>
        <sz val="9"/>
        <color theme="1"/>
        <rFont val="맑은 고딕"/>
        <family val="3"/>
        <charset val="129"/>
      </rPr>
      <t>경우에는</t>
    </r>
    <r>
      <rPr>
        <sz val="9"/>
        <color theme="1"/>
        <rFont val="Calibri"/>
        <family val="2"/>
      </rPr>
      <t xml:space="preserve"> 1 Level </t>
    </r>
    <r>
      <rPr>
        <sz val="9"/>
        <color theme="1"/>
        <rFont val="맑은 고딕"/>
        <family val="3"/>
        <charset val="129"/>
      </rPr>
      <t>필드만</t>
    </r>
    <r>
      <rPr>
        <sz val="9"/>
        <color theme="1"/>
        <rFont val="Calibri"/>
        <family val="2"/>
      </rPr>
      <t xml:space="preserve"> Traget</t>
    </r>
    <r>
      <rPr>
        <sz val="9"/>
        <color theme="1"/>
        <rFont val="맑은 고딕"/>
        <family val="3"/>
        <charset val="129"/>
      </rPr>
      <t>파일의</t>
    </r>
    <r>
      <rPr>
        <sz val="9"/>
        <color theme="1"/>
        <rFont val="Calibri"/>
        <family val="2"/>
      </rPr>
      <t xml:space="preserve"> "</t>
    </r>
    <r>
      <rPr>
        <sz val="9"/>
        <color theme="1"/>
        <rFont val="맑은 고딕"/>
        <family val="3"/>
        <charset val="129"/>
      </rPr>
      <t>작업명</t>
    </r>
    <r>
      <rPr>
        <sz val="9"/>
        <color theme="1"/>
        <rFont val="Calibri"/>
        <family val="2"/>
      </rPr>
      <t>"</t>
    </r>
    <r>
      <rPr>
        <sz val="9"/>
        <color theme="1"/>
        <rFont val="맑은 고딕"/>
        <family val="3"/>
        <charset val="129"/>
      </rPr>
      <t>필드와</t>
    </r>
    <r>
      <rPr>
        <sz val="9"/>
        <color theme="1"/>
        <rFont val="Calibri"/>
        <family val="2"/>
      </rPr>
      <t xml:space="preserve"> Mapping</t>
    </r>
    <r>
      <rPr>
        <sz val="9"/>
        <color theme="1"/>
        <rFont val="맑은 고딕"/>
        <family val="3"/>
        <charset val="129"/>
      </rPr>
      <t>하면</t>
    </r>
    <r>
      <rPr>
        <sz val="9"/>
        <color theme="1"/>
        <rFont val="Calibri"/>
        <family val="2"/>
      </rPr>
      <t xml:space="preserve"> </t>
    </r>
    <r>
      <rPr>
        <sz val="9"/>
        <color theme="1"/>
        <rFont val="맑은 고딕"/>
        <family val="3"/>
        <charset val="129"/>
      </rPr>
      <t>됩니다</t>
    </r>
    <r>
      <rPr>
        <sz val="9"/>
        <color theme="1"/>
        <rFont val="Calibri"/>
        <family val="2"/>
      </rPr>
      <t>.</t>
    </r>
  </si>
  <si>
    <r>
      <t>Task(</t>
    </r>
    <r>
      <rPr>
        <sz val="9"/>
        <color theme="1"/>
        <rFont val="맑은 고딕"/>
        <family val="3"/>
        <charset val="129"/>
      </rPr>
      <t>작업명</t>
    </r>
    <r>
      <rPr>
        <sz val="9"/>
        <color theme="1"/>
        <rFont val="Calibri"/>
        <family val="2"/>
      </rPr>
      <t xml:space="preserve">, </t>
    </r>
    <r>
      <rPr>
        <sz val="9"/>
        <color theme="1"/>
        <rFont val="맑은 고딕"/>
        <family val="3"/>
        <charset val="129"/>
      </rPr>
      <t>이름</t>
    </r>
    <r>
      <rPr>
        <sz val="9"/>
        <color theme="1"/>
        <rFont val="Calibri"/>
        <family val="2"/>
      </rPr>
      <t xml:space="preserve"> </t>
    </r>
    <r>
      <rPr>
        <sz val="9"/>
        <color theme="1"/>
        <rFont val="맑은 고딕"/>
        <family val="3"/>
        <charset val="129"/>
      </rPr>
      <t>등</t>
    </r>
    <r>
      <rPr>
        <sz val="9"/>
        <color theme="1"/>
        <rFont val="Calibri"/>
        <family val="2"/>
      </rPr>
      <t>)</t>
    </r>
    <r>
      <rPr>
        <sz val="9"/>
        <color theme="1"/>
        <rFont val="맑은 고딕"/>
        <family val="3"/>
        <charset val="129"/>
      </rPr>
      <t>는</t>
    </r>
    <r>
      <rPr>
        <sz val="9"/>
        <color theme="1"/>
        <rFont val="Calibri"/>
        <family val="2"/>
      </rPr>
      <t xml:space="preserve"> </t>
    </r>
    <r>
      <rPr>
        <sz val="9"/>
        <color theme="1"/>
        <rFont val="맑은 고딕"/>
        <family val="3"/>
        <charset val="129"/>
      </rPr>
      <t>반드시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</si>
  <si>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실적진척율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</si>
  <si>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실적진척율이</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</si>
  <si>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실제완료일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</si>
  <si>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</si>
  <si>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</si>
  <si>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실제총작업량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</si>
  <si>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Calendar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</si>
  <si>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산출물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</si>
  <si>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완료일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</si>
  <si>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비고</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</si>
  <si>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</si>
  <si>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</si>
  <si>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계획작업량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</si>
  <si>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담당</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</si>
  <si>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시작일</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</si>
  <si>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작업</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</si>
  <si>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총기간</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</si>
  <si>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총작업량</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</si>
  <si>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Level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</si>
  <si>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xml:space="preserve">WBS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</si>
  <si>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가중치</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</si>
  <si>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t>{} sheet</t>
    </r>
    <r>
      <rPr>
        <sz val="9"/>
        <color theme="1"/>
        <rFont val="맑은 고딕"/>
        <family val="3"/>
        <charset val="129"/>
      </rPr>
      <t>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이름을</t>
    </r>
    <r>
      <rPr>
        <sz val="9"/>
        <color theme="1"/>
        <rFont val="Calibri"/>
        <family val="2"/>
      </rPr>
      <t xml:space="preserve"> </t>
    </r>
    <r>
      <rPr>
        <sz val="9"/>
        <color theme="1"/>
        <rFont val="맑은 고딕"/>
        <family val="3"/>
        <charset val="129"/>
      </rPr>
      <t>변경하거나</t>
    </r>
    <r>
      <rPr>
        <sz val="9"/>
        <color theme="1"/>
        <rFont val="Calibri"/>
        <family val="2"/>
      </rPr>
      <t xml:space="preserve"> </t>
    </r>
    <r>
      <rPr>
        <sz val="9"/>
        <color theme="1"/>
        <rFont val="맑은 고딕"/>
        <family val="3"/>
        <charset val="129"/>
      </rPr>
      <t>삭제했는지</t>
    </r>
    <r>
      <rPr>
        <sz val="9"/>
        <color theme="1"/>
        <rFont val="Calibri"/>
        <family val="2"/>
      </rPr>
      <t xml:space="preserve"> </t>
    </r>
    <r>
      <rPr>
        <sz val="9"/>
        <color theme="1"/>
        <rFont val="맑은 고딕"/>
        <family val="3"/>
        <charset val="129"/>
      </rPr>
      <t>확인하세요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</si>
  <si>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</si>
  <si>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비어있고</t>
    </r>
    <r>
      <rPr>
        <sz val="9"/>
        <color theme="1"/>
        <rFont val="Calibri"/>
        <family val="2"/>
      </rPr>
      <t xml:space="preserve"> </t>
    </r>
    <r>
      <rPr>
        <sz val="9"/>
        <color theme="1"/>
        <rFont val="맑은 고딕"/>
        <family val="3"/>
        <charset val="129"/>
      </rPr>
      <t>실제완료일만</t>
    </r>
    <r>
      <rPr>
        <sz val="9"/>
        <color theme="1"/>
        <rFont val="Calibri"/>
        <family val="2"/>
      </rPr>
      <t xml:space="preserve"> </t>
    </r>
    <r>
      <rPr>
        <sz val="9"/>
        <color theme="1"/>
        <rFont val="맑은 고딕"/>
        <family val="3"/>
        <charset val="129"/>
      </rPr>
      <t>입력되어</t>
    </r>
    <r>
      <rPr>
        <sz val="9"/>
        <color theme="1"/>
        <rFont val="Calibri"/>
        <family val="2"/>
      </rPr>
      <t xml:space="preserve"> </t>
    </r>
    <r>
      <rPr>
        <sz val="9"/>
        <color theme="1"/>
        <rFont val="맑은 고딕"/>
        <family val="3"/>
        <charset val="129"/>
      </rPr>
      <t>있습니다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</si>
  <si>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</si>
  <si>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실제시작일이</t>
    </r>
    <r>
      <rPr>
        <sz val="9"/>
        <color theme="1"/>
        <rFont val="Calibri"/>
        <family val="2"/>
      </rPr>
      <t xml:space="preserve"> </t>
    </r>
    <r>
      <rPr>
        <sz val="9"/>
        <color theme="1"/>
        <rFont val="맑은 고딕"/>
        <family val="3"/>
        <charset val="129"/>
      </rPr>
      <t>실제완료일보다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</si>
  <si>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</si>
  <si>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실젝</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</si>
  <si>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</si>
  <si>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날짜는</t>
    </r>
    <r>
      <rPr>
        <sz val="9"/>
        <color theme="1"/>
        <rFont val="Calibri"/>
        <family val="2"/>
      </rPr>
      <t xml:space="preserve"> </t>
    </r>
    <r>
      <rPr>
        <sz val="9"/>
        <color theme="1"/>
        <rFont val="맑은 고딕"/>
        <family val="3"/>
        <charset val="129"/>
      </rPr>
      <t>입력되었는데</t>
    </r>
    <r>
      <rPr>
        <sz val="9"/>
        <color theme="1"/>
        <rFont val="Calibri"/>
        <family val="2"/>
      </rPr>
      <t xml:space="preserve"> </t>
    </r>
    <r>
      <rPr>
        <sz val="9"/>
        <color theme="1"/>
        <rFont val="맑은 고딕"/>
        <family val="3"/>
        <charset val="129"/>
      </rPr>
      <t>작업필드가</t>
    </r>
    <r>
      <rPr>
        <sz val="9"/>
        <color theme="1"/>
        <rFont val="Calibri"/>
        <family val="2"/>
      </rPr>
      <t xml:space="preserve"> </t>
    </r>
    <r>
      <rPr>
        <sz val="9"/>
        <color theme="1"/>
        <rFont val="맑은 고딕"/>
        <family val="3"/>
        <charset val="129"/>
      </rPr>
      <t>비어있습니다</t>
    </r>
    <r>
      <rPr>
        <sz val="9"/>
        <color theme="1"/>
        <rFont val="Calibri"/>
        <family val="2"/>
      </rPr>
      <t>.\n</t>
    </r>
    <r>
      <rPr>
        <sz val="9"/>
        <color theme="1"/>
        <rFont val="맑은 고딕"/>
        <family val="3"/>
        <charset val="129"/>
      </rPr>
      <t>작업필드의</t>
    </r>
    <r>
      <rPr>
        <sz val="9"/>
        <color theme="1"/>
        <rFont val="Calibri"/>
        <family val="2"/>
      </rPr>
      <t xml:space="preserve"> </t>
    </r>
    <r>
      <rPr>
        <sz val="9"/>
        <color theme="1"/>
        <rFont val="맑은 고딕"/>
        <family val="3"/>
        <charset val="129"/>
      </rPr>
      <t>값을</t>
    </r>
    <r>
      <rPr>
        <sz val="9"/>
        <color theme="1"/>
        <rFont val="Calibri"/>
        <family val="2"/>
      </rPr>
      <t xml:space="preserve"> </t>
    </r>
    <r>
      <rPr>
        <sz val="9"/>
        <color theme="1"/>
        <rFont val="맑은 고딕"/>
        <family val="3"/>
        <charset val="129"/>
      </rPr>
      <t>채우거나</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지우세요</t>
    </r>
    <r>
      <rPr>
        <sz val="9"/>
        <color theme="1"/>
        <rFont val="Calibri"/>
        <family val="2"/>
      </rPr>
      <t>.</t>
    </r>
  </si>
  <si>
    <r>
      <rPr>
        <sz val="9"/>
        <color theme="1"/>
        <rFont val="맑은 고딕"/>
        <family val="3"/>
        <charset val="129"/>
      </rPr>
      <t>산출물명이</t>
    </r>
    <r>
      <rPr>
        <sz val="9"/>
        <color theme="1"/>
        <rFont val="Calibri"/>
        <family val="2"/>
      </rPr>
      <t xml:space="preserve"> </t>
    </r>
    <r>
      <rPr>
        <sz val="9"/>
        <color theme="1"/>
        <rFont val="맑은 고딕"/>
        <family val="3"/>
        <charset val="129"/>
      </rPr>
      <t>비어있습니다</t>
    </r>
    <r>
      <rPr>
        <sz val="9"/>
        <color theme="1"/>
        <rFont val="Calibri"/>
        <family val="2"/>
      </rPr>
      <t>.</t>
    </r>
  </si>
  <si>
    <r>
      <rPr>
        <sz val="9"/>
        <color theme="1"/>
        <rFont val="맑은 고딕"/>
        <family val="3"/>
        <charset val="129"/>
      </rPr>
      <t>가장</t>
    </r>
    <r>
      <rPr>
        <sz val="9"/>
        <color theme="1"/>
        <rFont val="Calibri"/>
        <family val="2"/>
      </rPr>
      <t xml:space="preserve"> </t>
    </r>
    <r>
      <rPr>
        <sz val="9"/>
        <color theme="1"/>
        <rFont val="맑은 고딕"/>
        <family val="3"/>
        <charset val="129"/>
      </rPr>
      <t>빠른</t>
    </r>
    <r>
      <rPr>
        <sz val="9"/>
        <color theme="1"/>
        <rFont val="Calibri"/>
        <family val="2"/>
      </rPr>
      <t xml:space="preserve"> </t>
    </r>
    <r>
      <rPr>
        <sz val="9"/>
        <color theme="1"/>
        <rFont val="맑은 고딕"/>
        <family val="3"/>
        <charset val="129"/>
      </rPr>
      <t>시작일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시작일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빠릅니다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</si>
  <si>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</si>
  <si>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t>Gantt</t>
    </r>
    <r>
      <rPr>
        <sz val="9"/>
        <color theme="1"/>
        <rFont val="맑은 고딕"/>
        <family val="3"/>
        <charset val="129"/>
      </rPr>
      <t>영역의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열이</t>
    </r>
    <r>
      <rPr>
        <sz val="9"/>
        <color theme="1"/>
        <rFont val="Calibri"/>
        <family val="2"/>
      </rPr>
      <t xml:space="preserve"> </t>
    </r>
    <r>
      <rPr>
        <sz val="9"/>
        <color theme="1"/>
        <rFont val="맑은 고딕"/>
        <family val="3"/>
        <charset val="129"/>
      </rPr>
      <t>삭제되었습니다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</si>
  <si>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형식입니다</t>
    </r>
    <r>
      <rPr>
        <sz val="9"/>
        <color theme="1"/>
        <rFont val="Calibri"/>
        <family val="2"/>
      </rPr>
      <t xml:space="preserve">. XLGantt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</si>
  <si>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다음의</t>
    </r>
    <r>
      <rPr>
        <sz val="9"/>
        <color theme="1"/>
        <rFont val="Calibri"/>
        <family val="2"/>
      </rPr>
      <t xml:space="preserve"> XLGantt</t>
    </r>
    <r>
      <rPr>
        <sz val="9"/>
        <color theme="1"/>
        <rFont val="맑은 고딕"/>
        <family val="3"/>
        <charset val="129"/>
      </rPr>
      <t>파일은</t>
    </r>
    <r>
      <rPr>
        <sz val="9"/>
        <color theme="1"/>
        <rFont val="Calibri"/>
        <family val="2"/>
      </rPr>
      <t xml:space="preserve"> </t>
    </r>
    <r>
      <rPr>
        <sz val="9"/>
        <color theme="1"/>
        <rFont val="맑은 고딕"/>
        <family val="3"/>
        <charset val="129"/>
      </rPr>
      <t>지원하지</t>
    </r>
    <r>
      <rPr>
        <sz val="9"/>
        <color theme="1"/>
        <rFont val="Calibri"/>
        <family val="2"/>
      </rPr>
      <t xml:space="preserve"> </t>
    </r>
    <r>
      <rPr>
        <sz val="9"/>
        <color theme="1"/>
        <rFont val="맑은 고딕"/>
        <family val="3"/>
        <charset val="129"/>
      </rPr>
      <t>않는</t>
    </r>
    <r>
      <rPr>
        <sz val="9"/>
        <color theme="1"/>
        <rFont val="Calibri"/>
        <family val="2"/>
      </rPr>
      <t xml:space="preserve"> </t>
    </r>
    <r>
      <rPr>
        <sz val="9"/>
        <color theme="1"/>
        <rFont val="맑은 고딕"/>
        <family val="3"/>
        <charset val="129"/>
      </rPr>
      <t>버전입니다</t>
    </r>
    <r>
      <rPr>
        <sz val="9"/>
        <color theme="1"/>
        <rFont val="Calibri"/>
        <family val="2"/>
      </rPr>
      <t xml:space="preserve">. Version 0.9.7 </t>
    </r>
    <r>
      <rPr>
        <sz val="9"/>
        <color theme="1"/>
        <rFont val="맑은 고딕"/>
        <family val="3"/>
        <charset val="129"/>
      </rPr>
      <t>이상</t>
    </r>
    <r>
      <rPr>
        <sz val="9"/>
        <color theme="1"/>
        <rFont val="Calibri"/>
        <family val="2"/>
      </rPr>
      <t xml:space="preserve"> </t>
    </r>
    <r>
      <rPr>
        <sz val="9"/>
        <color theme="1"/>
        <rFont val="맑은 고딕"/>
        <family val="3"/>
        <charset val="129"/>
      </rPr>
      <t>버전만</t>
    </r>
    <r>
      <rPr>
        <sz val="9"/>
        <color theme="1"/>
        <rFont val="Calibri"/>
        <family val="2"/>
      </rPr>
      <t xml:space="preserve"> </t>
    </r>
    <r>
      <rPr>
        <sz val="9"/>
        <color theme="1"/>
        <rFont val="맑은 고딕"/>
        <family val="3"/>
        <charset val="129"/>
      </rPr>
      <t>지원합니다</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</si>
  <si>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파일을</t>
    </r>
    <r>
      <rPr>
        <sz val="9"/>
        <color theme="1"/>
        <rFont val="Calibri"/>
        <family val="2"/>
      </rPr>
      <t xml:space="preserve"> </t>
    </r>
    <r>
      <rPr>
        <sz val="9"/>
        <color theme="1"/>
        <rFont val="맑은 고딕"/>
        <family val="3"/>
        <charset val="129"/>
      </rPr>
      <t>성공적으로</t>
    </r>
    <r>
      <rPr>
        <sz val="9"/>
        <color theme="1"/>
        <rFont val="Calibri"/>
        <family val="2"/>
      </rPr>
      <t xml:space="preserve"> </t>
    </r>
    <r>
      <rPr>
        <sz val="9"/>
        <color theme="1"/>
        <rFont val="맑은 고딕"/>
        <family val="3"/>
        <charset val="129"/>
      </rPr>
      <t>가져왔습니다</t>
    </r>
    <r>
      <rPr>
        <sz val="9"/>
        <color theme="1"/>
        <rFont val="Calibri"/>
        <family val="2"/>
      </rPr>
      <t>.</t>
    </r>
  </si>
  <si>
    <r>
      <rPr>
        <sz val="9"/>
        <color theme="1"/>
        <rFont val="맑은 고딕"/>
        <family val="3"/>
        <charset val="129"/>
      </rPr>
      <t>다음의</t>
    </r>
    <r>
      <rPr>
        <sz val="9"/>
        <color theme="1"/>
        <rFont val="Calibri"/>
        <family val="2"/>
      </rPr>
      <t xml:space="preserve"> </t>
    </r>
    <r>
      <rPr>
        <sz val="9"/>
        <color theme="1"/>
        <rFont val="맑은 고딕"/>
        <family val="3"/>
        <charset val="129"/>
      </rPr>
      <t>폴더가</t>
    </r>
    <r>
      <rPr>
        <sz val="9"/>
        <color theme="1"/>
        <rFont val="Calibri"/>
        <family val="2"/>
      </rPr>
      <t xml:space="preserve"> </t>
    </r>
    <r>
      <rPr>
        <sz val="9"/>
        <color theme="1"/>
        <rFont val="맑은 고딕"/>
        <family val="3"/>
        <charset val="129"/>
      </rPr>
      <t>존재하지</t>
    </r>
    <r>
      <rPr>
        <sz val="9"/>
        <color theme="1"/>
        <rFont val="Calibri"/>
        <family val="2"/>
      </rPr>
      <t xml:space="preserve"> </t>
    </r>
    <r>
      <rPr>
        <sz val="9"/>
        <color theme="1"/>
        <rFont val="맑은 고딕"/>
        <family val="3"/>
        <charset val="129"/>
      </rPr>
      <t>않습니다</t>
    </r>
    <r>
      <rPr>
        <sz val="9"/>
        <color theme="1"/>
        <rFont val="Calibri"/>
        <family val="2"/>
      </rPr>
      <t>.</t>
    </r>
  </si>
  <si>
    <r>
      <rPr>
        <sz val="9"/>
        <color theme="1"/>
        <rFont val="맑은 고딕"/>
        <family val="3"/>
        <charset val="129"/>
      </rPr>
      <t>계획진척율</t>
    </r>
    <r>
      <rPr>
        <sz val="9"/>
        <color theme="1"/>
        <rFont val="Calibri"/>
        <family val="2"/>
      </rPr>
      <t xml:space="preserve"> </t>
    </r>
    <r>
      <rPr>
        <sz val="9"/>
        <color theme="1"/>
        <rFont val="맑은 고딕"/>
        <family val="3"/>
        <charset val="129"/>
      </rPr>
      <t>계산</t>
    </r>
    <r>
      <rPr>
        <sz val="9"/>
        <color theme="1"/>
        <rFont val="Calibri"/>
        <family val="2"/>
      </rPr>
      <t xml:space="preserve"> </t>
    </r>
    <r>
      <rPr>
        <sz val="9"/>
        <color theme="1"/>
        <rFont val="맑은 고딕"/>
        <family val="3"/>
        <charset val="129"/>
      </rPr>
      <t>기준일자의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</si>
  <si>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완료일의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</si>
  <si>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시작일의</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</si>
  <si>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작업이</t>
    </r>
    <r>
      <rPr>
        <sz val="9"/>
        <color theme="1"/>
        <rFont val="Calibri"/>
        <family val="2"/>
      </rPr>
      <t xml:space="preserve"> </t>
    </r>
    <r>
      <rPr>
        <sz val="9"/>
        <color theme="1"/>
        <rFont val="맑은 고딕"/>
        <family val="3"/>
        <charset val="129"/>
      </rPr>
      <t>정상적으로</t>
    </r>
    <r>
      <rPr>
        <sz val="9"/>
        <color theme="1"/>
        <rFont val="Calibri"/>
        <family val="2"/>
      </rPr>
      <t xml:space="preserve"> </t>
    </r>
    <r>
      <rPr>
        <sz val="9"/>
        <color theme="1"/>
        <rFont val="맑은 고딕"/>
        <family val="3"/>
        <charset val="129"/>
      </rPr>
      <t>완료되지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</si>
  <si>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기간의</t>
    </r>
    <r>
      <rPr>
        <sz val="9"/>
        <color theme="1"/>
        <rFont val="Calibri"/>
        <family val="2"/>
      </rPr>
      <t xml:space="preserve"> </t>
    </r>
    <r>
      <rPr>
        <sz val="9"/>
        <color theme="1"/>
        <rFont val="맑은 고딕"/>
        <family val="3"/>
        <charset val="129"/>
      </rPr>
      <t>종류가</t>
    </r>
    <r>
      <rPr>
        <sz val="9"/>
        <color theme="1"/>
        <rFont val="Calibri"/>
        <family val="2"/>
      </rPr>
      <t xml:space="preserve"> </t>
    </r>
    <r>
      <rPr>
        <sz val="9"/>
        <color theme="1"/>
        <rFont val="맑은 고딕"/>
        <family val="3"/>
        <charset val="129"/>
      </rPr>
      <t>잘못되었습니다</t>
    </r>
    <r>
      <rPr>
        <sz val="9"/>
        <color theme="1"/>
        <rFont val="Calibri"/>
        <family val="2"/>
      </rPr>
      <t>. W(</t>
    </r>
    <r>
      <rPr>
        <sz val="9"/>
        <color theme="1"/>
        <rFont val="맑은 고딕"/>
        <family val="3"/>
        <charset val="129"/>
      </rPr>
      <t>주</t>
    </r>
    <r>
      <rPr>
        <sz val="9"/>
        <color theme="1"/>
        <rFont val="Calibri"/>
        <family val="2"/>
      </rPr>
      <t>), M(</t>
    </r>
    <r>
      <rPr>
        <sz val="9"/>
        <color theme="1"/>
        <rFont val="맑은 고딕"/>
        <family val="3"/>
        <charset val="129"/>
      </rPr>
      <t>월</t>
    </r>
    <r>
      <rPr>
        <sz val="9"/>
        <color theme="1"/>
        <rFont val="Calibri"/>
        <family val="2"/>
      </rPr>
      <t xml:space="preserve">) </t>
    </r>
    <r>
      <rPr>
        <sz val="9"/>
        <color theme="1"/>
        <rFont val="맑은 고딕"/>
        <family val="3"/>
        <charset val="129"/>
      </rPr>
      <t>중에</t>
    </r>
    <r>
      <rPr>
        <sz val="9"/>
        <color theme="1"/>
        <rFont val="Calibri"/>
        <family val="2"/>
      </rPr>
      <t xml:space="preserve"> </t>
    </r>
    <r>
      <rPr>
        <sz val="9"/>
        <color theme="1"/>
        <rFont val="맑은 고딕"/>
        <family val="3"/>
        <charset val="129"/>
      </rPr>
      <t>하나를</t>
    </r>
    <r>
      <rPr>
        <sz val="9"/>
        <color theme="1"/>
        <rFont val="Calibri"/>
        <family val="2"/>
      </rPr>
      <t xml:space="preserve"> </t>
    </r>
    <r>
      <rPr>
        <sz val="9"/>
        <color theme="1"/>
        <rFont val="맑은 고딕"/>
        <family val="3"/>
        <charset val="129"/>
      </rPr>
      <t>입력해야</t>
    </r>
    <r>
      <rPr>
        <sz val="9"/>
        <color theme="1"/>
        <rFont val="Calibri"/>
        <family val="2"/>
      </rPr>
      <t xml:space="preserve"> </t>
    </r>
    <r>
      <rPr>
        <sz val="9"/>
        <color theme="1"/>
        <rFont val="맑은 고딕"/>
        <family val="3"/>
        <charset val="129"/>
      </rPr>
      <t>합니다</t>
    </r>
  </si>
  <si>
    <r>
      <rPr>
        <sz val="9"/>
        <color theme="1"/>
        <rFont val="맑은 고딕"/>
        <family val="3"/>
        <charset val="129"/>
      </rPr>
      <t>언어설정이</t>
    </r>
    <r>
      <rPr>
        <sz val="9"/>
        <color theme="1"/>
        <rFont val="Calibri"/>
        <family val="2"/>
      </rPr>
      <t xml:space="preserve"> </t>
    </r>
    <r>
      <rPr>
        <sz val="9"/>
        <color theme="1"/>
        <rFont val="맑은 고딕"/>
        <family val="3"/>
        <charset val="129"/>
      </rPr>
      <t>변경되었습니다</t>
    </r>
    <r>
      <rPr>
        <sz val="9"/>
        <color theme="1"/>
        <rFont val="Calibri"/>
        <family val="2"/>
      </rPr>
      <t>.\n</t>
    </r>
    <r>
      <rPr>
        <sz val="9"/>
        <color theme="1"/>
        <rFont val="맑은 고딕"/>
        <family val="3"/>
        <charset val="129"/>
      </rPr>
      <t>확인버튼을</t>
    </r>
    <r>
      <rPr>
        <sz val="9"/>
        <color theme="1"/>
        <rFont val="Calibri"/>
        <family val="2"/>
      </rPr>
      <t xml:space="preserve"> </t>
    </r>
    <r>
      <rPr>
        <sz val="9"/>
        <color theme="1"/>
        <rFont val="맑은 고딕"/>
        <family val="3"/>
        <charset val="129"/>
      </rPr>
      <t>누르면</t>
    </r>
    <r>
      <rPr>
        <sz val="9"/>
        <color theme="1"/>
        <rFont val="Calibri"/>
        <family val="2"/>
      </rPr>
      <t xml:space="preserve"> </t>
    </r>
    <r>
      <rPr>
        <sz val="9"/>
        <color theme="1"/>
        <rFont val="맑은 고딕"/>
        <family val="3"/>
        <charset val="129"/>
      </rPr>
      <t>번역을</t>
    </r>
    <r>
      <rPr>
        <sz val="9"/>
        <color theme="1"/>
        <rFont val="Calibri"/>
        <family val="2"/>
      </rPr>
      <t xml:space="preserve"> </t>
    </r>
    <r>
      <rPr>
        <sz val="9"/>
        <color theme="1"/>
        <rFont val="맑은 고딕"/>
        <family val="3"/>
        <charset val="129"/>
      </rPr>
      <t>시작합니다</t>
    </r>
    <r>
      <rPr>
        <sz val="9"/>
        <color theme="1"/>
        <rFont val="Calibri"/>
        <family val="2"/>
      </rPr>
      <t xml:space="preserve">. </t>
    </r>
    <r>
      <rPr>
        <sz val="9"/>
        <color theme="1"/>
        <rFont val="맑은 고딕"/>
        <family val="3"/>
        <charset val="129"/>
      </rPr>
      <t>번역은</t>
    </r>
    <r>
      <rPr>
        <sz val="9"/>
        <color theme="1"/>
        <rFont val="Calibri"/>
        <family val="2"/>
      </rPr>
      <t xml:space="preserve"> </t>
    </r>
    <r>
      <rPr>
        <sz val="9"/>
        <color theme="1"/>
        <rFont val="맑은 고딕"/>
        <family val="3"/>
        <charset val="129"/>
      </rPr>
      <t>시간이</t>
    </r>
    <r>
      <rPr>
        <sz val="9"/>
        <color theme="1"/>
        <rFont val="Calibri"/>
        <family val="2"/>
      </rPr>
      <t xml:space="preserve"> </t>
    </r>
    <r>
      <rPr>
        <sz val="9"/>
        <color theme="1"/>
        <rFont val="맑은 고딕"/>
        <family val="3"/>
        <charset val="129"/>
      </rPr>
      <t>걸릴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\n</t>
    </r>
    <r>
      <rPr>
        <sz val="9"/>
        <color theme="1"/>
        <rFont val="맑은 고딕"/>
        <family val="3"/>
        <charset val="129"/>
      </rPr>
      <t>리본메뉴</t>
    </r>
    <r>
      <rPr>
        <sz val="9"/>
        <color theme="1"/>
        <rFont val="Calibri"/>
        <family val="2"/>
      </rPr>
      <t xml:space="preserve">, </t>
    </r>
    <r>
      <rPr>
        <sz val="9"/>
        <color theme="1"/>
        <rFont val="맑은 고딕"/>
        <family val="3"/>
        <charset val="129"/>
      </rPr>
      <t>팝업메뉴의</t>
    </r>
    <r>
      <rPr>
        <sz val="9"/>
        <color theme="1"/>
        <rFont val="Calibri"/>
        <family val="2"/>
      </rPr>
      <t xml:space="preserve"> </t>
    </r>
    <r>
      <rPr>
        <sz val="9"/>
        <color theme="1"/>
        <rFont val="맑은 고딕"/>
        <family val="3"/>
        <charset val="129"/>
      </rPr>
      <t>언어는</t>
    </r>
    <r>
      <rPr>
        <sz val="9"/>
        <color theme="1"/>
        <rFont val="Calibri"/>
        <family val="2"/>
      </rPr>
      <t xml:space="preserve"> </t>
    </r>
    <r>
      <rPr>
        <sz val="9"/>
        <color theme="1"/>
        <rFont val="맑은 고딕"/>
        <family val="3"/>
        <charset val="129"/>
      </rPr>
      <t>이</t>
    </r>
    <r>
      <rPr>
        <sz val="9"/>
        <color theme="1"/>
        <rFont val="Calibri"/>
        <family val="2"/>
      </rPr>
      <t xml:space="preserve"> XLGantt</t>
    </r>
    <r>
      <rPr>
        <sz val="9"/>
        <color theme="1"/>
        <rFont val="맑은 고딕"/>
        <family val="3"/>
        <charset val="129"/>
      </rPr>
      <t>파일을</t>
    </r>
    <r>
      <rPr>
        <sz val="9"/>
        <color theme="1"/>
        <rFont val="Calibri"/>
        <family val="2"/>
      </rPr>
      <t xml:space="preserve"> </t>
    </r>
    <r>
      <rPr>
        <sz val="9"/>
        <color theme="1"/>
        <rFont val="맑은 고딕"/>
        <family val="3"/>
        <charset val="129"/>
      </rPr>
      <t>닫은</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새로</t>
    </r>
    <r>
      <rPr>
        <sz val="9"/>
        <color theme="1"/>
        <rFont val="Calibri"/>
        <family val="2"/>
      </rPr>
      <t xml:space="preserve"> </t>
    </r>
    <r>
      <rPr>
        <sz val="9"/>
        <color theme="1"/>
        <rFont val="맑은 고딕"/>
        <family val="3"/>
        <charset val="129"/>
      </rPr>
      <t>열어야</t>
    </r>
    <r>
      <rPr>
        <sz val="9"/>
        <color theme="1"/>
        <rFont val="Calibri"/>
        <family val="2"/>
      </rPr>
      <t xml:space="preserve"> </t>
    </r>
    <r>
      <rPr>
        <sz val="9"/>
        <color theme="1"/>
        <rFont val="맑은 고딕"/>
        <family val="3"/>
        <charset val="129"/>
      </rPr>
      <t>번역이</t>
    </r>
    <r>
      <rPr>
        <sz val="9"/>
        <color theme="1"/>
        <rFont val="Calibri"/>
        <family val="2"/>
      </rPr>
      <t xml:space="preserve"> </t>
    </r>
    <r>
      <rPr>
        <sz val="9"/>
        <color theme="1"/>
        <rFont val="맑은 고딕"/>
        <family val="3"/>
        <charset val="129"/>
      </rPr>
      <t>적용됩니다</t>
    </r>
    <r>
      <rPr>
        <sz val="9"/>
        <color theme="1"/>
        <rFont val="Calibri"/>
        <family val="2"/>
      </rPr>
      <t>.</t>
    </r>
    <phoneticPr fontId="3" type="noConversion"/>
  </si>
  <si>
    <r>
      <rPr>
        <sz val="9"/>
        <color theme="1"/>
        <rFont val="맑은 고딕"/>
        <family val="3"/>
        <charset val="129"/>
      </rPr>
      <t>가장</t>
    </r>
    <r>
      <rPr>
        <sz val="9"/>
        <color theme="1"/>
        <rFont val="Calibri"/>
        <family val="2"/>
      </rPr>
      <t xml:space="preserve"> </t>
    </r>
    <r>
      <rPr>
        <sz val="9"/>
        <color theme="1"/>
        <rFont val="맑은 고딕"/>
        <family val="3"/>
        <charset val="129"/>
      </rPr>
      <t>늦은</t>
    </r>
    <r>
      <rPr>
        <sz val="9"/>
        <color theme="1"/>
        <rFont val="Calibri"/>
        <family val="2"/>
      </rPr>
      <t xml:space="preserve"> </t>
    </r>
    <r>
      <rPr>
        <sz val="9"/>
        <color theme="1"/>
        <rFont val="맑은 고딕"/>
        <family val="3"/>
        <charset val="129"/>
      </rPr>
      <t>완료일</t>
    </r>
    <r>
      <rPr>
        <sz val="9"/>
        <color theme="1"/>
        <rFont val="Calibri"/>
        <family val="2"/>
      </rPr>
      <t>({1})</t>
    </r>
    <r>
      <rPr>
        <sz val="9"/>
        <color theme="1"/>
        <rFont val="맑은 고딕"/>
        <family val="3"/>
        <charset val="129"/>
      </rPr>
      <t>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기간정보의</t>
    </r>
    <r>
      <rPr>
        <sz val="9"/>
        <color theme="1"/>
        <rFont val="Calibri"/>
        <family val="2"/>
      </rPr>
      <t xml:space="preserve"> </t>
    </r>
    <r>
      <rPr>
        <sz val="9"/>
        <color theme="1"/>
        <rFont val="맑은 고딕"/>
        <family val="3"/>
        <charset val="129"/>
      </rPr>
      <t>완료일</t>
    </r>
    <r>
      <rPr>
        <sz val="9"/>
        <color theme="1"/>
        <rFont val="Calibri"/>
        <family val="2"/>
      </rPr>
      <t>({2})</t>
    </r>
    <r>
      <rPr>
        <sz val="9"/>
        <color theme="1"/>
        <rFont val="맑은 고딕"/>
        <family val="3"/>
        <charset val="129"/>
      </rPr>
      <t>보다</t>
    </r>
    <r>
      <rPr>
        <sz val="9"/>
        <color theme="1"/>
        <rFont val="Calibri"/>
        <family val="2"/>
      </rPr>
      <t xml:space="preserve"> </t>
    </r>
    <r>
      <rPr>
        <sz val="9"/>
        <color theme="1"/>
        <rFont val="맑은 고딕"/>
        <family val="3"/>
        <charset val="129"/>
      </rPr>
      <t>더</t>
    </r>
    <r>
      <rPr>
        <sz val="9"/>
        <color theme="1"/>
        <rFont val="Calibri"/>
        <family val="2"/>
      </rPr>
      <t xml:space="preserve"> </t>
    </r>
    <r>
      <rPr>
        <sz val="9"/>
        <color theme="1"/>
        <rFont val="맑은 고딕"/>
        <family val="3"/>
        <charset val="129"/>
      </rPr>
      <t>늦습니다</t>
    </r>
    <r>
      <rPr>
        <sz val="9"/>
        <color theme="1"/>
        <rFont val="Calibri"/>
        <family val="2"/>
      </rPr>
      <t>.\n\n</t>
    </r>
    <r>
      <rPr>
        <sz val="9"/>
        <color theme="1"/>
        <rFont val="맑은 고딕"/>
        <family val="3"/>
        <charset val="129"/>
      </rPr>
      <t>이</t>
    </r>
    <r>
      <rPr>
        <sz val="9"/>
        <color theme="1"/>
        <rFont val="Calibri"/>
        <family val="2"/>
      </rPr>
      <t xml:space="preserve"> </t>
    </r>
    <r>
      <rPr>
        <sz val="9"/>
        <color theme="1"/>
        <rFont val="맑은 고딕"/>
        <family val="3"/>
        <charset val="129"/>
      </rPr>
      <t>경우</t>
    </r>
    <r>
      <rPr>
        <sz val="9"/>
        <color theme="1"/>
        <rFont val="Calibri"/>
        <family val="2"/>
      </rPr>
      <t xml:space="preserve"> </t>
    </r>
    <r>
      <rPr>
        <sz val="9"/>
        <color theme="1"/>
        <rFont val="맑은 고딕"/>
        <family val="3"/>
        <charset val="129"/>
      </rPr>
      <t>리소스</t>
    </r>
    <r>
      <rPr>
        <sz val="9"/>
        <color theme="1"/>
        <rFont val="Calibri"/>
        <family val="2"/>
      </rPr>
      <t xml:space="preserve"> </t>
    </r>
    <r>
      <rPr>
        <sz val="9"/>
        <color theme="1"/>
        <rFont val="맑은 고딕"/>
        <family val="3"/>
        <charset val="129"/>
      </rPr>
      <t>계산등에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있을</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환경설정메뉴의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기간내로</t>
    </r>
    <r>
      <rPr>
        <sz val="9"/>
        <color theme="1"/>
        <rFont val="Calibri"/>
        <family val="2"/>
      </rPr>
      <t xml:space="preserve"> </t>
    </r>
    <r>
      <rPr>
        <sz val="9"/>
        <color theme="1"/>
        <rFont val="맑은 고딕"/>
        <family val="3"/>
        <charset val="129"/>
      </rPr>
      <t>조정하거나</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조정하시기</t>
    </r>
    <r>
      <rPr>
        <sz val="9"/>
        <color theme="1"/>
        <rFont val="Calibri"/>
        <family val="2"/>
      </rPr>
      <t xml:space="preserve"> </t>
    </r>
    <r>
      <rPr>
        <sz val="9"/>
        <color theme="1"/>
        <rFont val="맑은 고딕"/>
        <family val="3"/>
        <charset val="129"/>
      </rPr>
      <t>바랍니다</t>
    </r>
    <r>
      <rPr>
        <sz val="9"/>
        <color theme="1"/>
        <rFont val="Calibri"/>
        <family val="2"/>
      </rPr>
      <t>.</t>
    </r>
  </si>
  <si>
    <r>
      <t xml:space="preserve">{} </t>
    </r>
    <r>
      <rPr>
        <sz val="9"/>
        <color theme="1"/>
        <rFont val="맑은 고딕"/>
        <family val="3"/>
        <charset val="129"/>
      </rPr>
      <t>행의</t>
    </r>
    <r>
      <rPr>
        <sz val="9"/>
        <color theme="1"/>
        <rFont val="Calibri"/>
        <family val="2"/>
      </rPr>
      <t xml:space="preserve"> Level</t>
    </r>
    <r>
      <rPr>
        <sz val="9"/>
        <color theme="1"/>
        <rFont val="맑은 고딕"/>
        <family val="3"/>
        <charset val="129"/>
      </rPr>
      <t>이</t>
    </r>
    <r>
      <rPr>
        <sz val="9"/>
        <color theme="1"/>
        <rFont val="Calibri"/>
        <family val="2"/>
      </rPr>
      <t xml:space="preserve"> </t>
    </r>
    <r>
      <rPr>
        <sz val="9"/>
        <color theme="1"/>
        <rFont val="맑은 고딕"/>
        <family val="3"/>
        <charset val="129"/>
      </rPr>
      <t>맞지</t>
    </r>
    <r>
      <rPr>
        <sz val="9"/>
        <color theme="1"/>
        <rFont val="Calibri"/>
        <family val="2"/>
      </rPr>
      <t xml:space="preserve"> </t>
    </r>
    <r>
      <rPr>
        <sz val="9"/>
        <color theme="1"/>
        <rFont val="맑은 고딕"/>
        <family val="3"/>
        <charset val="129"/>
      </rPr>
      <t>않습니다</t>
    </r>
    <r>
      <rPr>
        <sz val="9"/>
        <color theme="1"/>
        <rFont val="Calibri"/>
        <family val="2"/>
      </rPr>
      <t>. Level</t>
    </r>
    <r>
      <rPr>
        <sz val="9"/>
        <color theme="1"/>
        <rFont val="맑은 고딕"/>
        <family val="3"/>
        <charset val="129"/>
      </rPr>
      <t>을</t>
    </r>
    <r>
      <rPr>
        <sz val="9"/>
        <color theme="1"/>
        <rFont val="Calibri"/>
        <family val="2"/>
      </rPr>
      <t xml:space="preserve"> 1</t>
    </r>
    <r>
      <rPr>
        <sz val="9"/>
        <color theme="1"/>
        <rFont val="맑은 고딕"/>
        <family val="3"/>
        <charset val="129"/>
      </rPr>
      <t>보다</t>
    </r>
    <r>
      <rPr>
        <sz val="9"/>
        <color theme="1"/>
        <rFont val="Calibri"/>
        <family val="2"/>
      </rPr>
      <t xml:space="preserve"> </t>
    </r>
    <r>
      <rPr>
        <sz val="9"/>
        <color theme="1"/>
        <rFont val="맑은 고딕"/>
        <family val="3"/>
        <charset val="129"/>
      </rPr>
      <t>크게</t>
    </r>
    <r>
      <rPr>
        <sz val="9"/>
        <color theme="1"/>
        <rFont val="Calibri"/>
        <family val="2"/>
      </rPr>
      <t xml:space="preserve"> </t>
    </r>
    <r>
      <rPr>
        <sz val="9"/>
        <color theme="1"/>
        <rFont val="맑은 고딕"/>
        <family val="3"/>
        <charset val="129"/>
      </rPr>
      <t>증가했는지</t>
    </r>
    <r>
      <rPr>
        <sz val="9"/>
        <color theme="1"/>
        <rFont val="Calibri"/>
        <family val="2"/>
      </rPr>
      <t xml:space="preserve"> </t>
    </r>
    <r>
      <rPr>
        <sz val="9"/>
        <color theme="1"/>
        <rFont val="맑은 고딕"/>
        <family val="3"/>
        <charset val="129"/>
      </rPr>
      <t>확인하세요</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</si>
  <si>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개까지만</t>
    </r>
    <r>
      <rPr>
        <sz val="9"/>
        <color theme="1"/>
        <rFont val="Calibri"/>
        <family val="2"/>
      </rPr>
      <t xml:space="preserve"> </t>
    </r>
    <r>
      <rPr>
        <sz val="9"/>
        <color theme="1"/>
        <rFont val="맑은 고딕"/>
        <family val="3"/>
        <charset val="129"/>
      </rPr>
      <t>가능합니다</t>
    </r>
    <r>
      <rPr>
        <sz val="9"/>
        <color theme="1"/>
        <rFont val="Calibri"/>
        <family val="2"/>
      </rPr>
      <t>.</t>
    </r>
  </si>
  <si>
    <r>
      <t>Level</t>
    </r>
    <r>
      <rPr>
        <sz val="9"/>
        <color theme="1"/>
        <rFont val="맑은 고딕"/>
        <family val="3"/>
        <charset val="129"/>
      </rPr>
      <t>의</t>
    </r>
    <r>
      <rPr>
        <sz val="9"/>
        <color theme="1"/>
        <rFont val="Calibri"/>
        <family val="2"/>
      </rPr>
      <t xml:space="preserve"> </t>
    </r>
    <r>
      <rPr>
        <sz val="9"/>
        <color theme="1"/>
        <rFont val="맑은 고딕"/>
        <family val="3"/>
        <charset val="129"/>
      </rPr>
      <t>갯수는</t>
    </r>
    <r>
      <rPr>
        <sz val="9"/>
        <color theme="1"/>
        <rFont val="Calibri"/>
        <family val="2"/>
      </rPr>
      <t xml:space="preserve"> </t>
    </r>
    <r>
      <rPr>
        <sz val="9"/>
        <color theme="1"/>
        <rFont val="맑은 고딕"/>
        <family val="3"/>
        <charset val="129"/>
      </rPr>
      <t>양의</t>
    </r>
    <r>
      <rPr>
        <sz val="9"/>
        <color theme="1"/>
        <rFont val="Calibri"/>
        <family val="2"/>
      </rPr>
      <t xml:space="preserve"> </t>
    </r>
    <r>
      <rPr>
        <sz val="9"/>
        <color theme="1"/>
        <rFont val="맑은 고딕"/>
        <family val="3"/>
        <charset val="129"/>
      </rPr>
      <t>정수만</t>
    </r>
    <r>
      <rPr>
        <sz val="9"/>
        <color theme="1"/>
        <rFont val="Calibri"/>
        <family val="2"/>
      </rPr>
      <t xml:space="preserve"> </t>
    </r>
    <r>
      <rPr>
        <sz val="9"/>
        <color theme="1"/>
        <rFont val="맑은 고딕"/>
        <family val="3"/>
        <charset val="129"/>
      </rPr>
      <t>가능합니다</t>
    </r>
    <r>
      <rPr>
        <sz val="9"/>
        <color theme="1"/>
        <rFont val="Calibri"/>
        <family val="2"/>
      </rPr>
      <t>.</t>
    </r>
  </si>
  <si>
    <r>
      <t>Task</t>
    </r>
    <r>
      <rPr>
        <sz val="9"/>
        <color theme="1"/>
        <rFont val="맑은 고딕"/>
        <family val="3"/>
        <charset val="129"/>
      </rPr>
      <t>열의</t>
    </r>
    <r>
      <rPr>
        <sz val="9"/>
        <color theme="1"/>
        <rFont val="Calibri"/>
        <family val="2"/>
      </rPr>
      <t xml:space="preserve"> </t>
    </r>
    <r>
      <rPr>
        <sz val="9"/>
        <color theme="1"/>
        <rFont val="맑은 고딕"/>
        <family val="3"/>
        <charset val="129"/>
      </rPr>
      <t>갯수가</t>
    </r>
    <r>
      <rPr>
        <sz val="9"/>
        <color theme="1"/>
        <rFont val="Calibri"/>
        <family val="2"/>
      </rPr>
      <t xml:space="preserve"> 10</t>
    </r>
    <r>
      <rPr>
        <sz val="9"/>
        <color theme="1"/>
        <rFont val="맑은 고딕"/>
        <family val="3"/>
        <charset val="129"/>
      </rPr>
      <t>개가</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원래대로</t>
    </r>
    <r>
      <rPr>
        <sz val="9"/>
        <color theme="1"/>
        <rFont val="Calibri"/>
        <family val="2"/>
      </rPr>
      <t xml:space="preserve"> </t>
    </r>
    <r>
      <rPr>
        <sz val="9"/>
        <color theme="1"/>
        <rFont val="맑은 고딕"/>
        <family val="3"/>
        <charset val="129"/>
      </rPr>
      <t>복구한</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작업하세요</t>
    </r>
    <r>
      <rPr>
        <sz val="9"/>
        <color theme="1"/>
        <rFont val="Calibri"/>
        <family val="2"/>
      </rPr>
      <t>.</t>
    </r>
    <phoneticPr fontId="1" type="noConversion"/>
  </si>
  <si>
    <r>
      <t>{} sheet</t>
    </r>
    <r>
      <rPr>
        <sz val="9"/>
        <color theme="1"/>
        <rFont val="맑은 고딕"/>
        <family val="3"/>
        <charset val="129"/>
      </rPr>
      <t>의</t>
    </r>
    <r>
      <rPr>
        <sz val="9"/>
        <color theme="1"/>
        <rFont val="Calibri"/>
        <family val="2"/>
      </rPr>
      <t xml:space="preserve"> </t>
    </r>
    <r>
      <rPr>
        <sz val="9"/>
        <color theme="1"/>
        <rFont val="맑은 고딕"/>
        <family val="3"/>
        <charset val="129"/>
      </rPr>
      <t>에러로</t>
    </r>
    <r>
      <rPr>
        <sz val="9"/>
        <color theme="1"/>
        <rFont val="Calibri"/>
        <family val="2"/>
      </rPr>
      <t xml:space="preserve"> </t>
    </r>
    <r>
      <rPr>
        <sz val="9"/>
        <color theme="1"/>
        <rFont val="맑은 고딕"/>
        <family val="3"/>
        <charset val="129"/>
      </rPr>
      <t>인해</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중단되었습니다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</si>
  <si>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완료일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</si>
  <si>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기간의</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</si>
  <si>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자원배정비율이</t>
    </r>
    <r>
      <rPr>
        <sz val="9"/>
        <color theme="1"/>
        <rFont val="Calibri"/>
        <family val="2"/>
      </rPr>
      <t xml:space="preserve"> </t>
    </r>
    <r>
      <rPr>
        <sz val="9"/>
        <color theme="1"/>
        <rFont val="맑은 고딕"/>
        <family val="3"/>
        <charset val="129"/>
      </rPr>
      <t>잘못입력되었습니다</t>
    </r>
    <r>
      <rPr>
        <sz val="9"/>
        <color theme="1"/>
        <rFont val="Calibri"/>
        <family val="2"/>
      </rPr>
      <t>.</t>
    </r>
  </si>
  <si>
    <r>
      <rPr>
        <sz val="9"/>
        <color theme="1"/>
        <rFont val="맑은 고딕"/>
        <family val="3"/>
        <charset val="129"/>
      </rPr>
      <t>자원배정비율은</t>
    </r>
    <r>
      <rPr>
        <sz val="9"/>
        <color theme="1"/>
        <rFont val="Calibri"/>
        <family val="2"/>
      </rPr>
      <t xml:space="preserve"> </t>
    </r>
    <r>
      <rPr>
        <sz val="9"/>
        <color theme="1"/>
        <rFont val="맑은 고딕"/>
        <family val="3"/>
        <charset val="129"/>
      </rPr>
      <t>다음과</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형식으로</t>
    </r>
    <r>
      <rPr>
        <sz val="9"/>
        <color theme="1"/>
        <rFont val="Calibri"/>
        <family val="2"/>
      </rPr>
      <t xml:space="preserve"> </t>
    </r>
    <r>
      <rPr>
        <sz val="9"/>
        <color theme="1"/>
        <rFont val="맑은 고딕"/>
        <family val="3"/>
        <charset val="129"/>
      </rPr>
      <t>입력되어야</t>
    </r>
    <r>
      <rPr>
        <sz val="9"/>
        <color theme="1"/>
        <rFont val="Calibri"/>
        <family val="2"/>
      </rPr>
      <t xml:space="preserve"> </t>
    </r>
    <r>
      <rPr>
        <sz val="9"/>
        <color theme="1"/>
        <rFont val="맑은 고딕"/>
        <family val="3"/>
        <charset val="129"/>
      </rPr>
      <t>합니다</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</si>
  <si>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날짜형식이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정확한</t>
    </r>
    <r>
      <rPr>
        <sz val="9"/>
        <color theme="1"/>
        <rFont val="Calibri"/>
        <family val="2"/>
      </rPr>
      <t xml:space="preserve"> </t>
    </r>
    <r>
      <rPr>
        <sz val="9"/>
        <color theme="1"/>
        <rFont val="맑은 고딕"/>
        <family val="3"/>
        <charset val="129"/>
      </rPr>
      <t>날짜형식으로</t>
    </r>
    <r>
      <rPr>
        <sz val="9"/>
        <color theme="1"/>
        <rFont val="Calibri"/>
        <family val="2"/>
      </rPr>
      <t xml:space="preserve"> </t>
    </r>
    <r>
      <rPr>
        <sz val="9"/>
        <color theme="1"/>
        <rFont val="맑은 고딕"/>
        <family val="3"/>
        <charset val="129"/>
      </rPr>
      <t>입력하세요</t>
    </r>
    <r>
      <rPr>
        <sz val="9"/>
        <color theme="1"/>
        <rFont val="Calibri"/>
        <family val="2"/>
      </rPr>
      <t>.</t>
    </r>
  </si>
  <si>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</si>
  <si>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시작일이</t>
    </r>
    <r>
      <rPr>
        <sz val="9"/>
        <color theme="1"/>
        <rFont val="Calibri"/>
        <family val="2"/>
      </rPr>
      <t xml:space="preserve"> </t>
    </r>
    <r>
      <rPr>
        <sz val="9"/>
        <color theme="1"/>
        <rFont val="맑은 고딕"/>
        <family val="3"/>
        <charset val="129"/>
      </rPr>
      <t>완료일보다</t>
    </r>
    <r>
      <rPr>
        <sz val="9"/>
        <color theme="1"/>
        <rFont val="Calibri"/>
        <family val="2"/>
      </rPr>
      <t xml:space="preserve"> </t>
    </r>
    <r>
      <rPr>
        <sz val="9"/>
        <color theme="1"/>
        <rFont val="맑은 고딕"/>
        <family val="3"/>
        <charset val="129"/>
      </rPr>
      <t>큽니다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</si>
  <si>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벗어났습니다</t>
    </r>
    <r>
      <rPr>
        <sz val="9"/>
        <color theme="1"/>
        <rFont val="Calibri"/>
        <family val="2"/>
      </rPr>
      <t>.</t>
    </r>
  </si>
  <si>
    <r>
      <t xml:space="preserve">{} sheet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1 Level</t>
    </r>
    <r>
      <rPr>
        <sz val="9"/>
        <color theme="1"/>
        <rFont val="맑은 고딕"/>
        <family val="3"/>
        <charset val="129"/>
      </rPr>
      <t>이</t>
    </r>
    <r>
      <rPr>
        <sz val="9"/>
        <color theme="1"/>
        <rFont val="Calibri"/>
        <family val="2"/>
      </rPr>
      <t xml:space="preserve"> </t>
    </r>
    <r>
      <rPr>
        <sz val="9"/>
        <color theme="1"/>
        <rFont val="맑은 고딕"/>
        <family val="3"/>
        <charset val="129"/>
      </rPr>
      <t>아닙니다</t>
    </r>
    <r>
      <rPr>
        <sz val="9"/>
        <color theme="1"/>
        <rFont val="Calibri"/>
        <family val="2"/>
      </rPr>
      <t xml:space="preserve">. </t>
    </r>
    <r>
      <rPr>
        <sz val="9"/>
        <color theme="1"/>
        <rFont val="맑은 고딕"/>
        <family val="3"/>
        <charset val="129"/>
      </rPr>
      <t>첫행의</t>
    </r>
    <r>
      <rPr>
        <sz val="9"/>
        <color theme="1"/>
        <rFont val="Calibri"/>
        <family val="2"/>
      </rPr>
      <t xml:space="preserve"> </t>
    </r>
    <r>
      <rPr>
        <sz val="9"/>
        <color theme="1"/>
        <rFont val="맑은 고딕"/>
        <family val="3"/>
        <charset val="129"/>
      </rPr>
      <t>작업이</t>
    </r>
    <r>
      <rPr>
        <sz val="9"/>
        <color theme="1"/>
        <rFont val="Calibri"/>
        <family val="2"/>
      </rPr>
      <t xml:space="preserve"> </t>
    </r>
    <r>
      <rPr>
        <sz val="9"/>
        <color theme="1"/>
        <rFont val="맑은 고딕"/>
        <family val="3"/>
        <charset val="129"/>
      </rPr>
      <t>첫째칸이</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다른</t>
    </r>
    <r>
      <rPr>
        <sz val="9"/>
        <color theme="1"/>
        <rFont val="Calibri"/>
        <family val="2"/>
      </rPr>
      <t xml:space="preserve"> </t>
    </r>
    <r>
      <rPr>
        <sz val="9"/>
        <color theme="1"/>
        <rFont val="맑은 고딕"/>
        <family val="3"/>
        <charset val="129"/>
      </rPr>
      <t>칸에</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확인하세요</t>
    </r>
    <r>
      <rPr>
        <sz val="9"/>
        <color theme="1"/>
        <rFont val="Calibri"/>
        <family val="2"/>
      </rPr>
      <t>.</t>
    </r>
  </si>
  <si>
    <r>
      <t>Task</t>
    </r>
    <r>
      <rPr>
        <sz val="9"/>
        <color theme="1"/>
        <rFont val="맑은 고딕"/>
        <family val="3"/>
        <charset val="129"/>
      </rPr>
      <t>필드</t>
    </r>
    <r>
      <rPr>
        <sz val="9"/>
        <color theme="1"/>
        <rFont val="Calibri"/>
        <family val="2"/>
      </rPr>
      <t xml:space="preserve"> </t>
    </r>
    <r>
      <rPr>
        <sz val="9"/>
        <color theme="1"/>
        <rFont val="맑은 고딕"/>
        <family val="3"/>
        <charset val="129"/>
      </rPr>
      <t>유형</t>
    </r>
  </si>
  <si>
    <r>
      <t>1</t>
    </r>
    <r>
      <rPr>
        <sz val="9"/>
        <color theme="1"/>
        <rFont val="맑은 고딕"/>
        <family val="3"/>
        <charset val="129"/>
      </rPr>
      <t>월</t>
    </r>
    <r>
      <rPr>
        <sz val="9"/>
        <color theme="1"/>
        <rFont val="Calibri"/>
        <family val="2"/>
      </rPr>
      <t xml:space="preserve"> 1</t>
    </r>
    <r>
      <rPr>
        <sz val="9"/>
        <color theme="1"/>
        <rFont val="맑은 고딕"/>
        <family val="3"/>
        <charset val="129"/>
      </rPr>
      <t>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phoneticPr fontId="1" type="noConversion"/>
  </si>
  <si>
    <r>
      <rPr>
        <sz val="9"/>
        <color theme="1"/>
        <rFont val="맑은 고딕"/>
        <family val="3"/>
        <charset val="129"/>
      </rPr>
      <t>한주의</t>
    </r>
    <r>
      <rPr>
        <sz val="9"/>
        <color theme="1"/>
        <rFont val="Calibri"/>
        <family val="2"/>
      </rPr>
      <t xml:space="preserve"> </t>
    </r>
    <r>
      <rPr>
        <sz val="9"/>
        <color theme="1"/>
        <rFont val="맑은 고딕"/>
        <family val="3"/>
        <charset val="129"/>
      </rPr>
      <t>시작은</t>
    </r>
    <r>
      <rPr>
        <sz val="9"/>
        <color theme="1"/>
        <rFont val="Calibri"/>
        <family val="2"/>
      </rPr>
      <t xml:space="preserve"> </t>
    </r>
    <r>
      <rPr>
        <sz val="9"/>
        <color theme="1"/>
        <rFont val="맑은 고딕"/>
        <family val="3"/>
        <charset val="129"/>
      </rPr>
      <t>월요일이며</t>
    </r>
    <r>
      <rPr>
        <sz val="9"/>
        <color theme="1"/>
        <rFont val="Calibri"/>
        <family val="2"/>
      </rPr>
      <t xml:space="preserve"> </t>
    </r>
    <r>
      <rPr>
        <sz val="9"/>
        <color theme="1"/>
        <rFont val="맑은 고딕"/>
        <family val="3"/>
        <charset val="129"/>
      </rPr>
      <t>년도의</t>
    </r>
    <r>
      <rPr>
        <sz val="9"/>
        <color theme="1"/>
        <rFont val="Calibri"/>
        <family val="2"/>
      </rPr>
      <t xml:space="preserve"> </t>
    </r>
    <r>
      <rPr>
        <sz val="9"/>
        <color theme="1"/>
        <rFont val="맑은 고딕"/>
        <family val="3"/>
        <charset val="129"/>
      </rPr>
      <t>첫번째</t>
    </r>
    <r>
      <rPr>
        <sz val="9"/>
        <color theme="1"/>
        <rFont val="Calibri"/>
        <family val="2"/>
      </rPr>
      <t xml:space="preserve"> </t>
    </r>
    <r>
      <rPr>
        <sz val="9"/>
        <color theme="1"/>
        <rFont val="맑은 고딕"/>
        <family val="3"/>
        <charset val="129"/>
      </rPr>
      <t>목요일을</t>
    </r>
    <r>
      <rPr>
        <sz val="9"/>
        <color theme="1"/>
        <rFont val="Calibri"/>
        <family val="2"/>
      </rPr>
      <t xml:space="preserve"> </t>
    </r>
    <r>
      <rPr>
        <sz val="9"/>
        <color theme="1"/>
        <rFont val="맑은 고딕"/>
        <family val="3"/>
        <charset val="129"/>
      </rPr>
      <t>포함하는</t>
    </r>
    <r>
      <rPr>
        <sz val="9"/>
        <color theme="1"/>
        <rFont val="Calibri"/>
        <family val="2"/>
      </rPr>
      <t xml:space="preserve"> </t>
    </r>
    <r>
      <rPr>
        <sz val="9"/>
        <color theme="1"/>
        <rFont val="맑은 고딕"/>
        <family val="3"/>
        <charset val="129"/>
      </rPr>
      <t>주가</t>
    </r>
    <r>
      <rPr>
        <sz val="9"/>
        <color theme="1"/>
        <rFont val="Calibri"/>
        <family val="2"/>
      </rPr>
      <t xml:space="preserve"> </t>
    </r>
    <r>
      <rPr>
        <sz val="9"/>
        <color theme="1"/>
        <rFont val="맑은 고딕"/>
        <family val="3"/>
        <charset val="129"/>
      </rPr>
      <t>첫주가</t>
    </r>
    <r>
      <rPr>
        <sz val="9"/>
        <color theme="1"/>
        <rFont val="Calibri"/>
        <family val="2"/>
      </rPr>
      <t xml:space="preserve"> </t>
    </r>
    <r>
      <rPr>
        <sz val="9"/>
        <color theme="1"/>
        <rFont val="맑은 고딕"/>
        <family val="3"/>
        <charset val="129"/>
      </rPr>
      <t>되는</t>
    </r>
    <r>
      <rPr>
        <sz val="9"/>
        <color theme="1"/>
        <rFont val="Calibri"/>
        <family val="2"/>
      </rPr>
      <t xml:space="preserve"> </t>
    </r>
    <r>
      <rPr>
        <sz val="9"/>
        <color theme="1"/>
        <rFont val="맑은 고딕"/>
        <family val="3"/>
        <charset val="129"/>
      </rPr>
      <t>방식</t>
    </r>
    <r>
      <rPr>
        <sz val="9"/>
        <color theme="1"/>
        <rFont val="Calibri"/>
        <family val="2"/>
      </rPr>
      <t xml:space="preserve">(ISO 8601 </t>
    </r>
    <r>
      <rPr>
        <sz val="9"/>
        <color theme="1"/>
        <rFont val="맑은 고딕"/>
        <family val="3"/>
        <charset val="129"/>
      </rPr>
      <t>표준</t>
    </r>
    <r>
      <rPr>
        <sz val="9"/>
        <color theme="1"/>
        <rFont val="Calibri"/>
        <family val="2"/>
      </rPr>
      <t>)</t>
    </r>
    <phoneticPr fontId="1" type="noConversion"/>
  </si>
  <si>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가중치가</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아닙니다</t>
    </r>
    <r>
      <rPr>
        <sz val="9"/>
        <color theme="1"/>
        <rFont val="Calibri"/>
        <family val="2"/>
      </rPr>
      <t>.</t>
    </r>
  </si>
  <si>
    <r>
      <rPr>
        <sz val="9"/>
        <color theme="1"/>
        <rFont val="맑은 고딕"/>
        <family val="3"/>
        <charset val="129"/>
      </rPr>
      <t>입력한</t>
    </r>
    <r>
      <rPr>
        <sz val="9"/>
        <color theme="1"/>
        <rFont val="Calibri"/>
        <family val="2"/>
      </rPr>
      <t xml:space="preserve"> </t>
    </r>
    <r>
      <rPr>
        <sz val="9"/>
        <color theme="1"/>
        <rFont val="맑은 고딕"/>
        <family val="3"/>
        <charset val="129"/>
      </rPr>
      <t>산출물을</t>
    </r>
    <r>
      <rPr>
        <sz val="9"/>
        <color theme="1"/>
        <rFont val="Calibri"/>
        <family val="2"/>
      </rPr>
      <t xml:space="preserve"> </t>
    </r>
    <r>
      <rPr>
        <sz val="9"/>
        <color theme="1"/>
        <rFont val="맑은 고딕"/>
        <family val="3"/>
        <charset val="129"/>
      </rPr>
      <t>열</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실행프로그램이</t>
    </r>
    <r>
      <rPr>
        <sz val="9"/>
        <color theme="1"/>
        <rFont val="Calibri"/>
        <family val="2"/>
      </rPr>
      <t xml:space="preserve"> </t>
    </r>
    <r>
      <rPr>
        <sz val="9"/>
        <color theme="1"/>
        <rFont val="맑은 고딕"/>
        <family val="3"/>
        <charset val="129"/>
      </rPr>
      <t>없습니다</t>
    </r>
    <r>
      <rPr>
        <sz val="9"/>
        <color theme="1"/>
        <rFont val="Calibri"/>
        <family val="2"/>
      </rPr>
      <t>.</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</si>
  <si>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총작업량</t>
    </r>
    <r>
      <rPr>
        <sz val="9"/>
        <color theme="1"/>
        <rFont val="Calibri"/>
        <family val="2"/>
      </rPr>
      <t xml:space="preserve"> </t>
    </r>
    <r>
      <rPr>
        <sz val="9"/>
        <color theme="1"/>
        <rFont val="맑은 고딕"/>
        <family val="3"/>
        <charset val="129"/>
      </rPr>
      <t>또는계획작업량</t>
    </r>
    <r>
      <rPr>
        <sz val="9"/>
        <color theme="1"/>
        <rFont val="Calibri"/>
        <family val="2"/>
      </rPr>
      <t xml:space="preserve"> </t>
    </r>
    <r>
      <rPr>
        <sz val="9"/>
        <color theme="1"/>
        <rFont val="맑은 고딕"/>
        <family val="3"/>
        <charset val="129"/>
      </rPr>
      <t>필드에</t>
    </r>
    <r>
      <rPr>
        <sz val="9"/>
        <color theme="1"/>
        <rFont val="Calibri"/>
        <family val="2"/>
      </rPr>
      <t xml:space="preserve"> </t>
    </r>
    <r>
      <rPr>
        <sz val="9"/>
        <color theme="1"/>
        <rFont val="맑은 고딕"/>
        <family val="3"/>
        <charset val="129"/>
      </rPr>
      <t>오류가</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완료일이</t>
    </r>
    <r>
      <rPr>
        <sz val="9"/>
        <color theme="1"/>
        <rFont val="Calibri"/>
        <family val="2"/>
      </rPr>
      <t xml:space="preserve"> </t>
    </r>
    <r>
      <rPr>
        <sz val="9"/>
        <color theme="1"/>
        <rFont val="맑은 고딕"/>
        <family val="3"/>
        <charset val="129"/>
      </rPr>
      <t>잘못</t>
    </r>
    <r>
      <rPr>
        <sz val="9"/>
        <color theme="1"/>
        <rFont val="Calibri"/>
        <family val="2"/>
      </rPr>
      <t xml:space="preserve"> </t>
    </r>
    <r>
      <rPr>
        <sz val="9"/>
        <color theme="1"/>
        <rFont val="맑은 고딕"/>
        <family val="3"/>
        <charset val="129"/>
      </rPr>
      <t>입력되었는지</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수식에</t>
    </r>
    <r>
      <rPr>
        <sz val="9"/>
        <color theme="1"/>
        <rFont val="Calibri"/>
        <family val="2"/>
      </rPr>
      <t xml:space="preserve"> </t>
    </r>
    <r>
      <rPr>
        <sz val="9"/>
        <color theme="1"/>
        <rFont val="맑은 고딕"/>
        <family val="3"/>
        <charset val="129"/>
      </rPr>
      <t>문제가</t>
    </r>
    <r>
      <rPr>
        <sz val="9"/>
        <color theme="1"/>
        <rFont val="Calibri"/>
        <family val="2"/>
      </rPr>
      <t xml:space="preserve"> </t>
    </r>
    <r>
      <rPr>
        <sz val="9"/>
        <color theme="1"/>
        <rFont val="맑은 고딕"/>
        <family val="3"/>
        <charset val="129"/>
      </rPr>
      <t>없는지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</si>
  <si>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다음</t>
    </r>
    <r>
      <rPr>
        <sz val="9"/>
        <color theme="1"/>
        <rFont val="Calibri"/>
        <family val="2"/>
      </rPr>
      <t xml:space="preserve"> </t>
    </r>
    <r>
      <rPr>
        <sz val="9"/>
        <color theme="1"/>
        <rFont val="맑은 고딕"/>
        <family val="3"/>
        <charset val="129"/>
      </rPr>
      <t>파일에</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</si>
  <si>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</si>
  <si>
    <r>
      <rPr>
        <sz val="9"/>
        <color theme="1"/>
        <rFont val="맑은 고딕"/>
        <family val="3"/>
        <charset val="129"/>
      </rPr>
      <t>계산할</t>
    </r>
    <r>
      <rPr>
        <sz val="9"/>
        <color theme="1"/>
        <rFont val="Calibri"/>
        <family val="2"/>
      </rPr>
      <t xml:space="preserve"> </t>
    </r>
    <r>
      <rPr>
        <sz val="9"/>
        <color theme="1"/>
        <rFont val="맑은 고딕"/>
        <family val="3"/>
        <charset val="129"/>
      </rPr>
      <t>입력자료가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</si>
  <si>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</si>
  <si>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입력된</t>
    </r>
    <r>
      <rPr>
        <sz val="9"/>
        <color theme="1"/>
        <rFont val="Calibri"/>
        <family val="2"/>
      </rPr>
      <t xml:space="preserve"> </t>
    </r>
    <r>
      <rPr>
        <sz val="9"/>
        <color theme="1"/>
        <rFont val="맑은 고딕"/>
        <family val="3"/>
        <charset val="129"/>
      </rPr>
      <t>자료가</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입력</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서식재설정</t>
    </r>
    <r>
      <rPr>
        <sz val="9"/>
        <color theme="1"/>
        <rFont val="Calibri"/>
        <family val="2"/>
      </rPr>
      <t xml:space="preserve"> </t>
    </r>
    <r>
      <rPr>
        <sz val="9"/>
        <color theme="1"/>
        <rFont val="맑은 고딕"/>
        <family val="3"/>
        <charset val="129"/>
      </rPr>
      <t>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</si>
  <si>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진척율선</t>
    </r>
    <r>
      <rPr>
        <sz val="9"/>
        <color theme="1"/>
        <rFont val="Calibri"/>
        <family val="2"/>
      </rPr>
      <t xml:space="preserve"> </t>
    </r>
    <r>
      <rPr>
        <sz val="9"/>
        <color theme="1"/>
        <rFont val="맑은 고딕"/>
        <family val="3"/>
        <charset val="129"/>
      </rPr>
      <t>그리기</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중</t>
    </r>
    <r>
      <rPr>
        <sz val="9"/>
        <color theme="1"/>
        <rFont val="Calibri"/>
        <family val="2"/>
      </rPr>
      <t xml:space="preserve"> </t>
    </r>
    <r>
      <rPr>
        <sz val="9"/>
        <color theme="1"/>
        <rFont val="맑은 고딕"/>
        <family val="3"/>
        <charset val="129"/>
      </rPr>
      <t>에러가</t>
    </r>
    <r>
      <rPr>
        <sz val="9"/>
        <color theme="1"/>
        <rFont val="Calibri"/>
        <family val="2"/>
      </rPr>
      <t xml:space="preserve"> </t>
    </r>
    <r>
      <rPr>
        <sz val="9"/>
        <color theme="1"/>
        <rFont val="맑은 고딕"/>
        <family val="3"/>
        <charset val="129"/>
      </rPr>
      <t>발생했습니다</t>
    </r>
    <r>
      <rPr>
        <sz val="9"/>
        <color theme="1"/>
        <rFont val="Calibri"/>
        <family val="2"/>
      </rPr>
      <t xml:space="preserve">. </t>
    </r>
    <r>
      <rPr>
        <sz val="9"/>
        <color theme="1"/>
        <rFont val="맑은 고딕"/>
        <family val="3"/>
        <charset val="129"/>
      </rPr>
      <t>실제시작일</t>
    </r>
    <r>
      <rPr>
        <sz val="9"/>
        <color theme="1"/>
        <rFont val="Calibri"/>
        <family val="2"/>
      </rPr>
      <t xml:space="preserve"> </t>
    </r>
    <r>
      <rPr>
        <sz val="9"/>
        <color theme="1"/>
        <rFont val="맑은 고딕"/>
        <family val="3"/>
        <charset val="129"/>
      </rPr>
      <t>또는</t>
    </r>
    <r>
      <rPr>
        <sz val="9"/>
        <color theme="1"/>
        <rFont val="Calibri"/>
        <family val="2"/>
      </rPr>
      <t xml:space="preserve"> </t>
    </r>
    <r>
      <rPr>
        <sz val="9"/>
        <color theme="1"/>
        <rFont val="맑은 고딕"/>
        <family val="3"/>
        <charset val="129"/>
      </rPr>
      <t>실제완료일이</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기간을</t>
    </r>
    <r>
      <rPr>
        <sz val="9"/>
        <color theme="1"/>
        <rFont val="Calibri"/>
        <family val="2"/>
      </rPr>
      <t xml:space="preserve"> </t>
    </r>
    <r>
      <rPr>
        <sz val="9"/>
        <color theme="1"/>
        <rFont val="맑은 고딕"/>
        <family val="3"/>
        <charset val="129"/>
      </rPr>
      <t>벗어난</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발생할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메시지를</t>
    </r>
    <r>
      <rPr>
        <sz val="9"/>
        <color theme="1"/>
        <rFont val="Calibri"/>
        <family val="2"/>
      </rPr>
      <t xml:space="preserve"> </t>
    </r>
    <r>
      <rPr>
        <sz val="9"/>
        <color theme="1"/>
        <rFont val="맑은 고딕"/>
        <family val="3"/>
        <charset val="129"/>
      </rPr>
      <t>확인하십시오</t>
    </r>
    <r>
      <rPr>
        <sz val="9"/>
        <color theme="1"/>
        <rFont val="Calibri"/>
        <family val="2"/>
      </rPr>
      <t>.</t>
    </r>
  </si>
  <si>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없는</t>
    </r>
    <r>
      <rPr>
        <sz val="9"/>
        <color theme="1"/>
        <rFont val="Calibri"/>
        <family val="2"/>
      </rPr>
      <t xml:space="preserve"> </t>
    </r>
    <r>
      <rPr>
        <sz val="9"/>
        <color theme="1"/>
        <rFont val="맑은 고딕"/>
        <family val="3"/>
        <charset val="129"/>
      </rPr>
      <t>영역입니다</t>
    </r>
    <r>
      <rPr>
        <sz val="9"/>
        <color theme="1"/>
        <rFont val="Calibri"/>
        <family val="2"/>
      </rPr>
      <t xml:space="preserve">. </t>
    </r>
    <r>
      <rPr>
        <sz val="9"/>
        <color theme="1"/>
        <rFont val="맑은 고딕"/>
        <family val="3"/>
        <charset val="129"/>
      </rPr>
      <t>작업명이</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선택하세요</t>
    </r>
    <r>
      <rPr>
        <sz val="9"/>
        <color theme="1"/>
        <rFont val="Calibri"/>
        <family val="2"/>
      </rPr>
      <t>.</t>
    </r>
  </si>
  <si>
    <r>
      <rPr>
        <sz val="9"/>
        <color theme="1"/>
        <rFont val="맑은 고딕"/>
        <family val="3"/>
        <charset val="129"/>
      </rPr>
      <t>이번</t>
    </r>
    <r>
      <rPr>
        <sz val="9"/>
        <color theme="1"/>
        <rFont val="Calibri"/>
        <family val="2"/>
      </rPr>
      <t xml:space="preserve"> </t>
    </r>
    <r>
      <rPr>
        <sz val="9"/>
        <color theme="1"/>
        <rFont val="맑은 고딕"/>
        <family val="3"/>
        <charset val="129"/>
      </rPr>
      <t>달</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</si>
  <si>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이번</t>
    </r>
    <r>
      <rPr>
        <sz val="9"/>
        <color theme="1"/>
        <rFont val="Calibri"/>
        <family val="2"/>
      </rPr>
      <t xml:space="preserve"> </t>
    </r>
    <r>
      <rPr>
        <sz val="9"/>
        <color theme="1"/>
        <rFont val="맑은 고딕"/>
        <family val="3"/>
        <charset val="129"/>
      </rPr>
      <t>주</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</si>
  <si>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지금</t>
    </r>
    <r>
      <rPr>
        <sz val="9"/>
        <color theme="1"/>
        <rFont val="Calibri"/>
        <family val="2"/>
      </rPr>
      <t xml:space="preserve"> </t>
    </r>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최신버전이</t>
    </r>
    <r>
      <rPr>
        <sz val="9"/>
        <color theme="1"/>
        <rFont val="Calibri"/>
        <family val="2"/>
      </rPr>
      <t xml:space="preserve"> </t>
    </r>
    <r>
      <rPr>
        <sz val="9"/>
        <color theme="1"/>
        <rFont val="맑은 고딕"/>
        <family val="3"/>
        <charset val="129"/>
      </rPr>
      <t>아닙니다</t>
    </r>
    <r>
      <rPr>
        <sz val="9"/>
        <color theme="1"/>
        <rFont val="Calibri"/>
        <family val="2"/>
      </rPr>
      <t xml:space="preserve">.\n_x000D_
</t>
    </r>
    <r>
      <rPr>
        <sz val="9"/>
        <color theme="1"/>
        <rFont val="맑은 고딕"/>
        <family val="3"/>
        <charset val="129"/>
      </rPr>
      <t>최신버전을</t>
    </r>
    <r>
      <rPr>
        <sz val="9"/>
        <color theme="1"/>
        <rFont val="Calibri"/>
        <family val="2"/>
      </rPr>
      <t xml:space="preserve"> </t>
    </r>
    <r>
      <rPr>
        <sz val="9"/>
        <color theme="1"/>
        <rFont val="맑은 고딕"/>
        <family val="3"/>
        <charset val="129"/>
      </rPr>
      <t>아래의</t>
    </r>
    <r>
      <rPr>
        <sz val="9"/>
        <color theme="1"/>
        <rFont val="Calibri"/>
        <family val="2"/>
      </rPr>
      <t xml:space="preserve"> </t>
    </r>
    <r>
      <rPr>
        <sz val="9"/>
        <color theme="1"/>
        <rFont val="맑은 고딕"/>
        <family val="3"/>
        <charset val="129"/>
      </rPr>
      <t>사이트에서</t>
    </r>
    <r>
      <rPr>
        <sz val="9"/>
        <color theme="1"/>
        <rFont val="Calibri"/>
        <family val="2"/>
      </rPr>
      <t xml:space="preserve"> </t>
    </r>
    <r>
      <rPr>
        <sz val="9"/>
        <color theme="1"/>
        <rFont val="맑은 고딕"/>
        <family val="3"/>
        <charset val="129"/>
      </rPr>
      <t>다운로드</t>
    </r>
    <r>
      <rPr>
        <sz val="9"/>
        <color theme="1"/>
        <rFont val="Calibri"/>
        <family val="2"/>
      </rPr>
      <t xml:space="preserve"> </t>
    </r>
    <r>
      <rPr>
        <sz val="9"/>
        <color theme="1"/>
        <rFont val="맑은 고딕"/>
        <family val="3"/>
        <charset val="129"/>
      </rPr>
      <t>받으세요</t>
    </r>
    <r>
      <rPr>
        <sz val="9"/>
        <color theme="1"/>
        <rFont val="Calibri"/>
        <family val="2"/>
      </rPr>
      <t>.</t>
    </r>
  </si>
  <si>
    <r>
      <rPr>
        <sz val="9"/>
        <color theme="1"/>
        <rFont val="맑은 고딕"/>
        <family val="3"/>
        <charset val="129"/>
      </rPr>
      <t>목</t>
    </r>
  </si>
  <si>
    <r>
      <t xml:space="preserve">Time bucket type </t>
    </r>
    <r>
      <rPr>
        <sz val="9"/>
        <color theme="1"/>
        <rFont val="맑은 고딕"/>
        <family val="3"/>
        <charset val="129"/>
      </rPr>
      <t>오류입니다</t>
    </r>
    <r>
      <rPr>
        <sz val="9"/>
        <color theme="1"/>
        <rFont val="Calibri"/>
        <family val="2"/>
      </rPr>
      <t>.</t>
    </r>
  </si>
  <si>
    <r>
      <rPr>
        <sz val="9"/>
        <color theme="1"/>
        <rFont val="맑은 고딕"/>
        <family val="3"/>
        <charset val="129"/>
      </rPr>
      <t>간트차트</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</si>
  <si>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WBS</t>
    </r>
    <r>
      <rPr>
        <sz val="9"/>
        <color theme="1"/>
        <rFont val="맑은 고딕"/>
        <family val="3"/>
        <charset val="129"/>
      </rPr>
      <t>영역</t>
    </r>
    <r>
      <rPr>
        <sz val="9"/>
        <color theme="1"/>
        <rFont val="Calibri"/>
        <family val="2"/>
      </rPr>
      <t xml:space="preserve"> </t>
    </r>
    <r>
      <rPr>
        <sz val="9"/>
        <color theme="1"/>
        <rFont val="맑은 고딕"/>
        <family val="3"/>
        <charset val="129"/>
      </rPr>
      <t>위의</t>
    </r>
    <r>
      <rPr>
        <sz val="9"/>
        <color theme="1"/>
        <rFont val="Calibri"/>
        <family val="2"/>
      </rPr>
      <t xml:space="preserve"> </t>
    </r>
    <r>
      <rPr>
        <sz val="9"/>
        <color theme="1"/>
        <rFont val="맑은 고딕"/>
        <family val="3"/>
        <charset val="129"/>
      </rPr>
      <t>타이틀</t>
    </r>
    <phoneticPr fontId="1" type="noConversion"/>
  </si>
  <si>
    <r>
      <t>Target</t>
    </r>
    <r>
      <rPr>
        <sz val="9"/>
        <color theme="1"/>
        <rFont val="맑은 고딕"/>
        <family val="3"/>
        <charset val="129"/>
      </rPr>
      <t>파일</t>
    </r>
    <r>
      <rPr>
        <sz val="9"/>
        <color theme="1"/>
        <rFont val="Calibri"/>
        <family val="2"/>
      </rPr>
      <t>(</t>
    </r>
    <r>
      <rPr>
        <sz val="9"/>
        <color theme="1"/>
        <rFont val="맑은 고딕"/>
        <family val="3"/>
        <charset val="129"/>
      </rPr>
      <t>가져온</t>
    </r>
    <r>
      <rPr>
        <sz val="9"/>
        <color theme="1"/>
        <rFont val="Calibri"/>
        <family val="2"/>
      </rPr>
      <t xml:space="preserve"> </t>
    </r>
    <r>
      <rPr>
        <sz val="9"/>
        <color theme="1"/>
        <rFont val="맑은 고딕"/>
        <family val="3"/>
        <charset val="129"/>
      </rPr>
      <t>후</t>
    </r>
    <r>
      <rPr>
        <sz val="9"/>
        <color theme="1"/>
        <rFont val="Calibri"/>
        <family val="2"/>
      </rPr>
      <t xml:space="preserve"> </t>
    </r>
    <r>
      <rPr>
        <sz val="9"/>
        <color theme="1"/>
        <rFont val="맑은 고딕"/>
        <family val="3"/>
        <charset val="129"/>
      </rPr>
      <t>파일</t>
    </r>
    <r>
      <rPr>
        <sz val="9"/>
        <color theme="1"/>
        <rFont val="Calibri"/>
        <family val="2"/>
      </rPr>
      <t>)</t>
    </r>
  </si>
  <si>
    <r>
      <rPr>
        <sz val="9"/>
        <color theme="1"/>
        <rFont val="맑은 고딕"/>
        <family val="3"/>
        <charset val="129"/>
      </rPr>
      <t>끝날짜</t>
    </r>
    <r>
      <rPr>
        <sz val="9"/>
        <color theme="1"/>
        <rFont val="Calibri"/>
        <family val="2"/>
      </rPr>
      <t xml:space="preserve"> </t>
    </r>
    <r>
      <rPr>
        <sz val="9"/>
        <color theme="1"/>
        <rFont val="맑은 고딕"/>
        <family val="3"/>
        <charset val="129"/>
      </rPr>
      <t>형식이</t>
    </r>
    <r>
      <rPr>
        <sz val="9"/>
        <color theme="1"/>
        <rFont val="Calibri"/>
        <family val="2"/>
      </rPr>
      <t xml:space="preserve"> </t>
    </r>
    <r>
      <rPr>
        <sz val="9"/>
        <color theme="1"/>
        <rFont val="맑은 고딕"/>
        <family val="3"/>
        <charset val="129"/>
      </rPr>
      <t>잘못되었습니다</t>
    </r>
    <r>
      <rPr>
        <sz val="9"/>
        <color theme="1"/>
        <rFont val="Calibri"/>
        <family val="2"/>
      </rPr>
      <t>.</t>
    </r>
  </si>
  <si>
    <r>
      <t>Source</t>
    </r>
    <r>
      <rPr>
        <sz val="9"/>
        <color theme="1"/>
        <rFont val="맑은 고딕"/>
        <family val="3"/>
        <charset val="129"/>
      </rPr>
      <t>파일에서</t>
    </r>
    <r>
      <rPr>
        <sz val="9"/>
        <color theme="1"/>
        <rFont val="Calibri"/>
        <family val="2"/>
      </rPr>
      <t xml:space="preserve"> Target</t>
    </r>
    <r>
      <rPr>
        <sz val="9"/>
        <color theme="1"/>
        <rFont val="맑은 고딕"/>
        <family val="3"/>
        <charset val="129"/>
      </rPr>
      <t>파일로</t>
    </r>
    <r>
      <rPr>
        <sz val="9"/>
        <color theme="1"/>
        <rFont val="Calibri"/>
        <family val="2"/>
      </rPr>
      <t xml:space="preserve"> </t>
    </r>
    <r>
      <rPr>
        <sz val="9"/>
        <color theme="1"/>
        <rFont val="맑은 고딕"/>
        <family val="3"/>
        <charset val="129"/>
      </rPr>
      <t>가져오기</t>
    </r>
    <r>
      <rPr>
        <sz val="9"/>
        <color theme="1"/>
        <rFont val="Calibri"/>
        <family val="2"/>
      </rPr>
      <t xml:space="preserve"> </t>
    </r>
    <r>
      <rPr>
        <sz val="9"/>
        <color theme="1"/>
        <rFont val="맑은 고딕"/>
        <family val="3"/>
        <charset val="129"/>
      </rPr>
      <t>위해서</t>
    </r>
    <r>
      <rPr>
        <sz val="9"/>
        <color theme="1"/>
        <rFont val="Calibri"/>
        <family val="2"/>
      </rPr>
      <t xml:space="preserve"> </t>
    </r>
    <r>
      <rPr>
        <sz val="9"/>
        <color theme="1"/>
        <rFont val="맑은 고딕"/>
        <family val="3"/>
        <charset val="129"/>
      </rPr>
      <t>각각의</t>
    </r>
    <r>
      <rPr>
        <sz val="9"/>
        <color theme="1"/>
        <rFont val="Calibri"/>
        <family val="2"/>
      </rPr>
      <t xml:space="preserve"> </t>
    </r>
    <r>
      <rPr>
        <sz val="9"/>
        <color theme="1"/>
        <rFont val="맑은 고딕"/>
        <family val="3"/>
        <charset val="129"/>
      </rPr>
      <t>필드를</t>
    </r>
    <r>
      <rPr>
        <sz val="9"/>
        <color theme="1"/>
        <rFont val="Calibri"/>
        <family val="2"/>
      </rPr>
      <t xml:space="preserve"> Mapping</t>
    </r>
    <r>
      <rPr>
        <sz val="9"/>
        <color theme="1"/>
        <rFont val="맑은 고딕"/>
        <family val="3"/>
        <charset val="129"/>
      </rPr>
      <t>합니다</t>
    </r>
    <r>
      <rPr>
        <sz val="9"/>
        <color theme="1"/>
        <rFont val="Calibri"/>
        <family val="2"/>
      </rPr>
      <t>. _x000D_
Source</t>
    </r>
    <r>
      <rPr>
        <sz val="9"/>
        <color theme="1"/>
        <rFont val="맑은 고딕"/>
        <family val="3"/>
        <charset val="129"/>
      </rPr>
      <t>파일의</t>
    </r>
    <r>
      <rPr>
        <sz val="9"/>
        <color theme="1"/>
        <rFont val="Calibri"/>
        <family val="2"/>
      </rPr>
      <t xml:space="preserve"> </t>
    </r>
    <r>
      <rPr>
        <sz val="9"/>
        <color theme="1"/>
        <rFont val="맑은 고딕"/>
        <family val="3"/>
        <charset val="129"/>
      </rPr>
      <t>필드를</t>
    </r>
    <r>
      <rPr>
        <sz val="9"/>
        <color theme="1"/>
        <rFont val="Calibri"/>
        <family val="2"/>
      </rPr>
      <t xml:space="preserve"> </t>
    </r>
    <r>
      <rPr>
        <sz val="9"/>
        <color theme="1"/>
        <rFont val="맑은 고딕"/>
        <family val="3"/>
        <charset val="129"/>
      </rPr>
      <t>먼저</t>
    </r>
    <r>
      <rPr>
        <sz val="9"/>
        <color theme="1"/>
        <rFont val="Calibri"/>
        <family val="2"/>
      </rPr>
      <t xml:space="preserve"> </t>
    </r>
    <r>
      <rPr>
        <sz val="9"/>
        <color theme="1"/>
        <rFont val="맑은 고딕"/>
        <family val="3"/>
        <charset val="129"/>
      </rPr>
      <t>선택하고</t>
    </r>
    <r>
      <rPr>
        <sz val="9"/>
        <color theme="1"/>
        <rFont val="Calibri"/>
        <family val="2"/>
      </rPr>
      <t xml:space="preserve"> </t>
    </r>
    <r>
      <rPr>
        <sz val="9"/>
        <color theme="1"/>
        <rFont val="맑은 고딕"/>
        <family val="3"/>
        <charset val="129"/>
      </rPr>
      <t>해당되는</t>
    </r>
    <r>
      <rPr>
        <sz val="9"/>
        <color theme="1"/>
        <rFont val="Calibri"/>
        <family val="2"/>
      </rPr>
      <t xml:space="preserve"> </t>
    </r>
    <r>
      <rPr>
        <sz val="9"/>
        <color theme="1"/>
        <rFont val="맑은 고딕"/>
        <family val="3"/>
        <charset val="129"/>
      </rPr>
      <t>필드를</t>
    </r>
    <r>
      <rPr>
        <sz val="9"/>
        <color theme="1"/>
        <rFont val="Calibri"/>
        <family val="2"/>
      </rPr>
      <t xml:space="preserve"> Targe</t>
    </r>
    <r>
      <rPr>
        <sz val="9"/>
        <color theme="1"/>
        <rFont val="맑은 고딕"/>
        <family val="3"/>
        <charset val="129"/>
      </rPr>
      <t>파일에서</t>
    </r>
    <r>
      <rPr>
        <sz val="9"/>
        <color theme="1"/>
        <rFont val="Calibri"/>
        <family val="2"/>
      </rPr>
      <t xml:space="preserve"> </t>
    </r>
    <r>
      <rPr>
        <sz val="9"/>
        <color theme="1"/>
        <rFont val="맑은 고딕"/>
        <family val="3"/>
        <charset val="129"/>
      </rPr>
      <t>찾아서</t>
    </r>
    <r>
      <rPr>
        <sz val="9"/>
        <color theme="1"/>
        <rFont val="Calibri"/>
        <family val="2"/>
      </rPr>
      <t xml:space="preserve"> Mapping</t>
    </r>
    <r>
      <rPr>
        <sz val="9"/>
        <color theme="1"/>
        <rFont val="맑은 고딕"/>
        <family val="3"/>
        <charset val="129"/>
      </rPr>
      <t>합니다</t>
    </r>
    <r>
      <rPr>
        <sz val="9"/>
        <color theme="1"/>
        <rFont val="Calibri"/>
        <family val="2"/>
      </rPr>
      <t>.</t>
    </r>
  </si>
  <si>
    <r>
      <rPr>
        <sz val="9"/>
        <color theme="1"/>
        <rFont val="맑은 고딕"/>
        <family val="3"/>
        <charset val="129"/>
      </rPr>
      <t>오늘</t>
    </r>
  </si>
  <si>
    <r>
      <rPr>
        <sz val="9"/>
        <color theme="1"/>
        <rFont val="맑은 고딕"/>
        <family val="3"/>
        <charset val="129"/>
      </rPr>
      <t>오늘</t>
    </r>
    <r>
      <rPr>
        <sz val="9"/>
        <color theme="1"/>
        <rFont val="Calibri"/>
        <family val="2"/>
      </rPr>
      <t xml:space="preserve"> </t>
    </r>
    <r>
      <rPr>
        <sz val="9"/>
        <color theme="1"/>
        <rFont val="맑은 고딕"/>
        <family val="3"/>
        <charset val="129"/>
      </rPr>
      <t>작업만</t>
    </r>
    <r>
      <rPr>
        <sz val="9"/>
        <color theme="1"/>
        <rFont val="Calibri"/>
        <family val="2"/>
      </rPr>
      <t xml:space="preserve"> </t>
    </r>
    <r>
      <rPr>
        <sz val="9"/>
        <color theme="1"/>
        <rFont val="맑은 고딕"/>
        <family val="3"/>
        <charset val="129"/>
      </rPr>
      <t>조회</t>
    </r>
  </si>
  <si>
    <r>
      <rPr>
        <sz val="9"/>
        <color theme="1"/>
        <rFont val="맑은 고딕"/>
        <family val="3"/>
        <charset val="129"/>
      </rPr>
      <t>총기간</t>
    </r>
  </si>
  <si>
    <r>
      <rPr>
        <sz val="9"/>
        <color theme="1"/>
        <rFont val="맑은 고딕"/>
        <family val="3"/>
        <charset val="129"/>
      </rPr>
      <t>총작업량</t>
    </r>
  </si>
  <si>
    <r>
      <rPr>
        <sz val="9"/>
        <color theme="1"/>
        <rFont val="맑은 고딕"/>
        <family val="3"/>
        <charset val="129"/>
      </rPr>
      <t>총작업량</t>
    </r>
    <r>
      <rPr>
        <sz val="9"/>
        <color theme="1"/>
        <rFont val="Calibri"/>
        <family val="2"/>
      </rPr>
      <t>(A)\nMan-day</t>
    </r>
  </si>
  <si>
    <r>
      <rPr>
        <sz val="9"/>
        <color theme="1"/>
        <rFont val="맑은 고딕"/>
        <family val="3"/>
        <charset val="129"/>
      </rPr>
      <t>총</t>
    </r>
    <r>
      <rPr>
        <sz val="9"/>
        <color theme="1"/>
        <rFont val="Calibri"/>
        <family val="2"/>
      </rPr>
      <t xml:space="preserve"> </t>
    </r>
    <r>
      <rPr>
        <sz val="9"/>
        <color theme="1"/>
        <rFont val="맑은 고딕"/>
        <family val="3"/>
        <charset val="129"/>
      </rPr>
      <t xml:space="preserve">작업량_x000D_
</t>
    </r>
    <r>
      <rPr>
        <sz val="9"/>
        <color theme="1"/>
        <rFont val="Calibri"/>
        <family val="2"/>
      </rPr>
      <t>(</t>
    </r>
    <r>
      <rPr>
        <sz val="9"/>
        <color theme="1"/>
        <rFont val="맑은 고딕"/>
        <family val="3"/>
        <charset val="129"/>
      </rPr>
      <t>총</t>
    </r>
    <r>
      <rPr>
        <sz val="9"/>
        <color theme="1"/>
        <rFont val="Calibri"/>
        <family val="2"/>
      </rPr>
      <t xml:space="preserve">ManDay,_x000D_
</t>
    </r>
    <r>
      <rPr>
        <sz val="9"/>
        <color theme="1"/>
        <rFont val="맑은 고딕"/>
        <family val="3"/>
        <charset val="129"/>
      </rPr>
      <t>가중치</t>
    </r>
    <r>
      <rPr>
        <sz val="9"/>
        <color theme="1"/>
        <rFont val="Calibri"/>
        <family val="2"/>
      </rPr>
      <t xml:space="preserve"> </t>
    </r>
    <r>
      <rPr>
        <sz val="9"/>
        <color theme="1"/>
        <rFont val="맑은 고딕"/>
        <family val="3"/>
        <charset val="129"/>
      </rPr>
      <t>감안</t>
    </r>
    <r>
      <rPr>
        <sz val="9"/>
        <color theme="1"/>
        <rFont val="Calibri"/>
        <family val="2"/>
      </rPr>
      <t>)</t>
    </r>
  </si>
  <si>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작업량</t>
    </r>
  </si>
  <si>
    <r>
      <rPr>
        <sz val="9"/>
        <color theme="1"/>
        <rFont val="맑은 고딕"/>
        <family val="3"/>
        <charset val="129"/>
      </rPr>
      <t>총</t>
    </r>
    <r>
      <rPr>
        <sz val="9"/>
        <color theme="1"/>
        <rFont val="Calibri"/>
        <family val="2"/>
      </rPr>
      <t>__</t>
    </r>
    <r>
      <rPr>
        <sz val="9"/>
        <color theme="1"/>
        <rFont val="맑은 고딕"/>
        <family val="3"/>
        <charset val="129"/>
      </rPr>
      <t>기간</t>
    </r>
    <phoneticPr fontId="3" type="noConversion"/>
  </si>
  <si>
    <r>
      <rPr>
        <sz val="9"/>
        <color theme="1"/>
        <rFont val="맑은 고딕"/>
        <family val="3"/>
        <charset val="129"/>
      </rPr>
      <t>총</t>
    </r>
    <r>
      <rPr>
        <sz val="9"/>
        <color theme="1"/>
        <rFont val="Calibri"/>
        <family val="2"/>
      </rPr>
      <t>__</t>
    </r>
    <r>
      <rPr>
        <sz val="9"/>
        <color theme="1"/>
        <rFont val="맑은 고딕"/>
        <family val="3"/>
        <charset val="129"/>
      </rPr>
      <t>작업량</t>
    </r>
    <phoneticPr fontId="3" type="noConversion"/>
  </si>
  <si>
    <r>
      <rPr>
        <sz val="9"/>
        <color theme="1"/>
        <rFont val="맑은 고딕"/>
        <family val="3"/>
        <charset val="129"/>
      </rPr>
      <t>총</t>
    </r>
    <r>
      <rPr>
        <sz val="9"/>
        <color theme="1"/>
        <rFont val="Calibri"/>
        <family val="2"/>
      </rPr>
      <t>\n</t>
    </r>
    <r>
      <rPr>
        <sz val="9"/>
        <color theme="1"/>
        <rFont val="맑은 고딕"/>
        <family val="3"/>
        <charset val="129"/>
      </rPr>
      <t>기간</t>
    </r>
  </si>
  <si>
    <r>
      <rPr>
        <sz val="9"/>
        <color theme="1"/>
        <rFont val="맑은 고딕"/>
        <family val="3"/>
        <charset val="129"/>
      </rPr>
      <t>총</t>
    </r>
    <r>
      <rPr>
        <sz val="9"/>
        <color theme="1"/>
        <rFont val="Calibri"/>
        <family val="2"/>
      </rPr>
      <t>\n</t>
    </r>
    <r>
      <rPr>
        <sz val="9"/>
        <color theme="1"/>
        <rFont val="맑은 고딕"/>
        <family val="3"/>
        <charset val="129"/>
      </rPr>
      <t>작업량</t>
    </r>
  </si>
  <si>
    <r>
      <rPr>
        <sz val="9"/>
        <color theme="1"/>
        <rFont val="맑은 고딕"/>
        <family val="3"/>
        <charset val="129"/>
      </rPr>
      <t>화</t>
    </r>
  </si>
  <si>
    <r>
      <t>{2} sheet</t>
    </r>
    <r>
      <rPr>
        <sz val="9"/>
        <color theme="1"/>
        <rFont val="맑은 고딕"/>
        <family val="3"/>
        <charset val="129"/>
      </rPr>
      <t>의</t>
    </r>
    <r>
      <rPr>
        <sz val="9"/>
        <color theme="1"/>
        <rFont val="Calibri"/>
        <family val="2"/>
      </rPr>
      <t xml:space="preserve"> {1}</t>
    </r>
    <r>
      <rPr>
        <sz val="9"/>
        <color theme="1"/>
        <rFont val="맑은 고딕"/>
        <family val="3"/>
        <charset val="129"/>
      </rPr>
      <t>행의</t>
    </r>
    <r>
      <rPr>
        <sz val="9"/>
        <color theme="1"/>
        <rFont val="Calibri"/>
        <family val="2"/>
      </rPr>
      <t xml:space="preserve"> </t>
    </r>
    <r>
      <rPr>
        <sz val="9"/>
        <color theme="1"/>
        <rFont val="맑은 고딕"/>
        <family val="3"/>
        <charset val="129"/>
      </rPr>
      <t>실적진척율을</t>
    </r>
    <r>
      <rPr>
        <sz val="9"/>
        <color theme="1"/>
        <rFont val="Calibri"/>
        <family val="2"/>
      </rPr>
      <t xml:space="preserve"> 0~100% </t>
    </r>
    <r>
      <rPr>
        <sz val="9"/>
        <color theme="1"/>
        <rFont val="맑은 고딕"/>
        <family val="3"/>
        <charset val="129"/>
      </rPr>
      <t>범위로</t>
    </r>
    <r>
      <rPr>
        <sz val="9"/>
        <color theme="1"/>
        <rFont val="Calibri"/>
        <family val="2"/>
      </rPr>
      <t xml:space="preserve"> </t>
    </r>
    <r>
      <rPr>
        <sz val="9"/>
        <color theme="1"/>
        <rFont val="맑은 고딕"/>
        <family val="3"/>
        <charset val="129"/>
      </rPr>
      <t>입력해주세요</t>
    </r>
    <r>
      <rPr>
        <sz val="9"/>
        <color theme="1"/>
        <rFont val="Calibri"/>
        <family val="2"/>
      </rPr>
      <t>.</t>
    </r>
  </si>
  <si>
    <r>
      <rPr>
        <sz val="9"/>
        <color theme="1"/>
        <rFont val="맑은 고딕"/>
        <family val="3"/>
        <charset val="129"/>
      </rPr>
      <t>화면설계</t>
    </r>
  </si>
  <si>
    <r>
      <rPr>
        <sz val="9"/>
        <color theme="1"/>
        <rFont val="맑은 고딕"/>
        <family val="3"/>
        <charset val="129"/>
      </rPr>
      <t>파일을</t>
    </r>
    <r>
      <rPr>
        <sz val="9"/>
        <color theme="1"/>
        <rFont val="Calibri"/>
        <family val="2"/>
      </rPr>
      <t xml:space="preserve"> </t>
    </r>
    <r>
      <rPr>
        <sz val="9"/>
        <color theme="1"/>
        <rFont val="맑은 고딕"/>
        <family val="3"/>
        <charset val="129"/>
      </rPr>
      <t>열수</t>
    </r>
    <r>
      <rPr>
        <sz val="9"/>
        <color theme="1"/>
        <rFont val="Calibri"/>
        <family val="2"/>
      </rPr>
      <t xml:space="preserve"> </t>
    </r>
    <r>
      <rPr>
        <sz val="9"/>
        <color theme="1"/>
        <rFont val="맑은 고딕"/>
        <family val="3"/>
        <charset val="129"/>
      </rPr>
      <t>없습니다</t>
    </r>
    <r>
      <rPr>
        <sz val="9"/>
        <color theme="1"/>
        <rFont val="Calibri"/>
        <family val="2"/>
      </rPr>
      <t xml:space="preserve">. </t>
    </r>
    <r>
      <rPr>
        <sz val="9"/>
        <color theme="1"/>
        <rFont val="맑은 고딕"/>
        <family val="3"/>
        <charset val="129"/>
      </rPr>
      <t>환경설정</t>
    </r>
    <r>
      <rPr>
        <sz val="9"/>
        <color theme="1"/>
        <rFont val="Calibri"/>
        <family val="2"/>
      </rPr>
      <t>&gt;</t>
    </r>
    <r>
      <rPr>
        <sz val="9"/>
        <color theme="1"/>
        <rFont val="맑은 고딕"/>
        <family val="3"/>
        <charset val="129"/>
      </rPr>
      <t>산출물관리</t>
    </r>
    <r>
      <rPr>
        <sz val="9"/>
        <color theme="1"/>
        <rFont val="Calibri"/>
        <family val="2"/>
      </rPr>
      <t xml:space="preserve"> </t>
    </r>
    <r>
      <rPr>
        <sz val="9"/>
        <color theme="1"/>
        <rFont val="맑은 고딕"/>
        <family val="3"/>
        <charset val="129"/>
      </rPr>
      <t>탭에서</t>
    </r>
    <r>
      <rPr>
        <sz val="9"/>
        <color theme="1"/>
        <rFont val="Calibri"/>
        <family val="2"/>
      </rPr>
      <t xml:space="preserve"> "</t>
    </r>
    <r>
      <rPr>
        <sz val="9"/>
        <color theme="1"/>
        <rFont val="맑은 고딕"/>
        <family val="3"/>
        <charset val="129"/>
      </rPr>
      <t>산출물</t>
    </r>
    <r>
      <rPr>
        <sz val="9"/>
        <color theme="1"/>
        <rFont val="Calibri"/>
        <family val="2"/>
      </rPr>
      <t xml:space="preserve"> </t>
    </r>
    <r>
      <rPr>
        <sz val="9"/>
        <color theme="1"/>
        <rFont val="맑은 고딕"/>
        <family val="3"/>
        <charset val="129"/>
      </rPr>
      <t>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경우에</t>
    </r>
    <r>
      <rPr>
        <sz val="9"/>
        <color theme="1"/>
        <rFont val="Calibri"/>
        <family val="2"/>
      </rPr>
      <t xml:space="preserve"> </t>
    </r>
    <r>
      <rPr>
        <sz val="9"/>
        <color theme="1"/>
        <rFont val="맑은 고딕"/>
        <family val="3"/>
        <charset val="129"/>
      </rPr>
      <t>체크하세요</t>
    </r>
    <r>
      <rPr>
        <sz val="9"/>
        <color theme="1"/>
        <rFont val="Calibri"/>
        <family val="2"/>
      </rPr>
      <t xml:space="preserve">" </t>
    </r>
    <r>
      <rPr>
        <sz val="9"/>
        <color theme="1"/>
        <rFont val="맑은 고딕"/>
        <family val="3"/>
        <charset val="129"/>
      </rPr>
      <t>옵션을</t>
    </r>
    <r>
      <rPr>
        <sz val="9"/>
        <color theme="1"/>
        <rFont val="Calibri"/>
        <family val="2"/>
      </rPr>
      <t xml:space="preserve"> </t>
    </r>
    <r>
      <rPr>
        <sz val="9"/>
        <color theme="1"/>
        <rFont val="맑은 고딕"/>
        <family val="3"/>
        <charset val="129"/>
      </rPr>
      <t>체크상태로</t>
    </r>
    <r>
      <rPr>
        <sz val="9"/>
        <color theme="1"/>
        <rFont val="Calibri"/>
        <family val="2"/>
      </rPr>
      <t xml:space="preserve"> </t>
    </r>
    <r>
      <rPr>
        <sz val="9"/>
        <color theme="1"/>
        <rFont val="맑은 고딕"/>
        <family val="3"/>
        <charset val="129"/>
      </rPr>
      <t>변경해</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</si>
  <si>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스케줄</t>
    </r>
    <r>
      <rPr>
        <sz val="9"/>
        <color theme="1"/>
        <rFont val="Calibri"/>
        <family val="2"/>
      </rPr>
      <t>\n</t>
    </r>
    <r>
      <rPr>
        <sz val="9"/>
        <color theme="1"/>
        <rFont val="맑은 고딕"/>
        <family val="3"/>
        <charset val="129"/>
      </rPr>
      <t>업데이트</t>
    </r>
    <phoneticPr fontId="1" type="noConversion"/>
  </si>
  <si>
    <r>
      <rPr>
        <sz val="9"/>
        <color theme="1"/>
        <rFont val="맑은 고딕"/>
        <family val="3"/>
        <charset val="129"/>
      </rPr>
      <t>업데이트</t>
    </r>
    <r>
      <rPr>
        <sz val="9"/>
        <color theme="1"/>
        <rFont val="Calibri"/>
        <family val="2"/>
      </rPr>
      <t xml:space="preserve"> </t>
    </r>
    <r>
      <rPr>
        <sz val="9"/>
        <color theme="1"/>
        <rFont val="맑은 고딕"/>
        <family val="3"/>
        <charset val="129"/>
      </rPr>
      <t>내용</t>
    </r>
  </si>
  <si>
    <r>
      <rPr>
        <sz val="9"/>
        <color theme="1"/>
        <rFont val="맑은 고딕"/>
        <family val="3"/>
        <charset val="129"/>
      </rPr>
      <t>스케줄업데이트</t>
    </r>
    <r>
      <rPr>
        <sz val="9"/>
        <color theme="1"/>
        <rFont val="Calibri"/>
        <family val="2"/>
      </rPr>
      <t xml:space="preserve"> </t>
    </r>
    <r>
      <rPr>
        <sz val="9"/>
        <color theme="1"/>
        <rFont val="맑은 고딕"/>
        <family val="3"/>
        <charset val="129"/>
      </rPr>
      <t>중입니다</t>
    </r>
    <r>
      <rPr>
        <sz val="9"/>
        <color theme="1"/>
        <rFont val="Calibri"/>
        <family val="2"/>
      </rPr>
      <t>...\n</t>
    </r>
    <r>
      <rPr>
        <sz val="9"/>
        <color theme="1"/>
        <rFont val="맑은 고딕"/>
        <family val="3"/>
        <charset val="129"/>
      </rPr>
      <t>잠시만</t>
    </r>
    <r>
      <rPr>
        <sz val="9"/>
        <color theme="1"/>
        <rFont val="Calibri"/>
        <family val="2"/>
      </rPr>
      <t xml:space="preserve"> </t>
    </r>
    <r>
      <rPr>
        <sz val="9"/>
        <color theme="1"/>
        <rFont val="맑은 고딕"/>
        <family val="3"/>
        <charset val="129"/>
      </rPr>
      <t>기다려</t>
    </r>
    <r>
      <rPr>
        <sz val="9"/>
        <color theme="1"/>
        <rFont val="Calibri"/>
        <family val="2"/>
      </rPr>
      <t xml:space="preserve"> </t>
    </r>
    <r>
      <rPr>
        <sz val="9"/>
        <color theme="1"/>
        <rFont val="맑은 고딕"/>
        <family val="3"/>
        <charset val="129"/>
      </rPr>
      <t>주세요</t>
    </r>
    <r>
      <rPr>
        <sz val="9"/>
        <color theme="1"/>
        <rFont val="Calibri"/>
        <family val="2"/>
      </rPr>
      <t>...</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</si>
  <si>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1</t>
    </r>
  </si>
  <si>
    <r>
      <rPr>
        <sz val="9"/>
        <color theme="1"/>
        <rFont val="맑은 고딕"/>
        <family val="3"/>
        <charset val="129"/>
      </rPr>
      <t>사용자정의</t>
    </r>
    <r>
      <rPr>
        <sz val="9"/>
        <color theme="1"/>
        <rFont val="Calibri"/>
        <family val="2"/>
      </rPr>
      <t xml:space="preserve"> </t>
    </r>
    <r>
      <rPr>
        <sz val="9"/>
        <color theme="1"/>
        <rFont val="맑은 고딕"/>
        <family val="3"/>
        <charset val="129"/>
      </rPr>
      <t>캘린더</t>
    </r>
    <r>
      <rPr>
        <sz val="9"/>
        <color theme="1"/>
        <rFont val="Calibri"/>
        <family val="2"/>
      </rPr>
      <t>2</t>
    </r>
  </si>
  <si>
    <r>
      <rPr>
        <sz val="9"/>
        <color theme="1"/>
        <rFont val="맑은 고딕"/>
        <family val="3"/>
        <charset val="129"/>
      </rPr>
      <t>차이</t>
    </r>
    <r>
      <rPr>
        <sz val="9"/>
        <color theme="1"/>
        <rFont val="Calibri"/>
        <family val="2"/>
      </rPr>
      <t>(</t>
    </r>
    <r>
      <rPr>
        <sz val="9"/>
        <color theme="1"/>
        <rFont val="맑은 고딕"/>
        <family val="3"/>
        <charset val="129"/>
      </rPr>
      <t>실적</t>
    </r>
    <r>
      <rPr>
        <sz val="9"/>
        <color theme="1"/>
        <rFont val="Calibri"/>
        <family val="2"/>
      </rPr>
      <t>-</t>
    </r>
    <r>
      <rPr>
        <sz val="9"/>
        <color theme="1"/>
        <rFont val="맑은 고딕"/>
        <family val="3"/>
        <charset val="129"/>
      </rPr>
      <t>계획</t>
    </r>
    <r>
      <rPr>
        <sz val="9"/>
        <color theme="1"/>
        <rFont val="Calibri"/>
        <family val="2"/>
      </rPr>
      <t>)</t>
    </r>
  </si>
  <si>
    <r>
      <t>WBS</t>
    </r>
    <r>
      <rPr>
        <sz val="9"/>
        <color theme="1"/>
        <rFont val="맑은 고딕"/>
        <family val="3"/>
        <charset val="129"/>
      </rPr>
      <t>영역</t>
    </r>
    <r>
      <rPr>
        <sz val="9"/>
        <color theme="1"/>
        <rFont val="Calibri"/>
        <family val="2"/>
      </rPr>
      <t xml:space="preserve"> </t>
    </r>
    <r>
      <rPr>
        <sz val="9"/>
        <color theme="1"/>
        <rFont val="맑은 고딕"/>
        <family val="3"/>
        <charset val="129"/>
      </rPr>
      <t>표시방법</t>
    </r>
  </si>
  <si>
    <r>
      <t>WBS Level(</t>
    </r>
    <r>
      <rPr>
        <sz val="9"/>
        <color theme="1"/>
        <rFont val="맑은 고딕"/>
        <family val="3"/>
        <charset val="129"/>
      </rPr>
      <t>개요번호</t>
    </r>
    <r>
      <rPr>
        <sz val="9"/>
        <color theme="1"/>
        <rFont val="Calibri"/>
        <family val="2"/>
      </rPr>
      <t>)</t>
    </r>
    <r>
      <rPr>
        <sz val="9"/>
        <color theme="1"/>
        <rFont val="맑은 고딕"/>
        <family val="3"/>
        <charset val="129"/>
      </rPr>
      <t>에</t>
    </r>
    <r>
      <rPr>
        <sz val="9"/>
        <color theme="1"/>
        <rFont val="Calibri"/>
        <family val="2"/>
      </rPr>
      <t xml:space="preserve"> </t>
    </r>
    <r>
      <rPr>
        <sz val="9"/>
        <color theme="1"/>
        <rFont val="맑은 고딕"/>
        <family val="3"/>
        <charset val="129"/>
      </rPr>
      <t>숫자가</t>
    </r>
    <r>
      <rPr>
        <sz val="9"/>
        <color theme="1"/>
        <rFont val="Calibri"/>
        <family val="2"/>
      </rPr>
      <t xml:space="preserve"> </t>
    </r>
    <r>
      <rPr>
        <sz val="9"/>
        <color theme="1"/>
        <rFont val="맑은 고딕"/>
        <family val="3"/>
        <charset val="129"/>
      </rPr>
      <t>아닌</t>
    </r>
    <r>
      <rPr>
        <sz val="9"/>
        <color theme="1"/>
        <rFont val="Calibri"/>
        <family val="2"/>
      </rPr>
      <t xml:space="preserve"> </t>
    </r>
    <r>
      <rPr>
        <sz val="9"/>
        <color theme="1"/>
        <rFont val="맑은 고딕"/>
        <family val="3"/>
        <charset val="129"/>
      </rPr>
      <t>값이</t>
    </r>
    <r>
      <rPr>
        <sz val="9"/>
        <color theme="1"/>
        <rFont val="Calibri"/>
        <family val="2"/>
      </rPr>
      <t xml:space="preserve"> </t>
    </r>
    <r>
      <rPr>
        <sz val="9"/>
        <color theme="1"/>
        <rFont val="맑은 고딕"/>
        <family val="3"/>
        <charset val="129"/>
      </rPr>
      <t>포함되어</t>
    </r>
    <r>
      <rPr>
        <sz val="9"/>
        <color theme="1"/>
        <rFont val="Calibri"/>
        <family val="2"/>
      </rPr>
      <t xml:space="preserve"> </t>
    </r>
    <r>
      <rPr>
        <sz val="9"/>
        <color theme="1"/>
        <rFont val="맑은 고딕"/>
        <family val="3"/>
        <charset val="129"/>
      </rPr>
      <t>있습니다</t>
    </r>
    <r>
      <rPr>
        <sz val="9"/>
        <color theme="1"/>
        <rFont val="Calibri"/>
        <family val="2"/>
      </rPr>
      <t>. Import</t>
    </r>
    <r>
      <rPr>
        <sz val="9"/>
        <color theme="1"/>
        <rFont val="맑은 고딕"/>
        <family val="3"/>
        <charset val="129"/>
      </rPr>
      <t>하는</t>
    </r>
    <r>
      <rPr>
        <sz val="9"/>
        <color theme="1"/>
        <rFont val="Calibri"/>
        <family val="2"/>
      </rPr>
      <t xml:space="preserve"> </t>
    </r>
    <r>
      <rPr>
        <sz val="9"/>
        <color theme="1"/>
        <rFont val="맑은 고딕"/>
        <family val="3"/>
        <charset val="129"/>
      </rPr>
      <t>파일의</t>
    </r>
    <r>
      <rPr>
        <sz val="9"/>
        <color theme="1"/>
        <rFont val="Calibri"/>
        <family val="2"/>
      </rPr>
      <t xml:space="preserve"> {}</t>
    </r>
    <r>
      <rPr>
        <sz val="9"/>
        <color theme="1"/>
        <rFont val="맑은 고딕"/>
        <family val="3"/>
        <charset val="129"/>
      </rPr>
      <t>행을</t>
    </r>
    <r>
      <rPr>
        <sz val="9"/>
        <color theme="1"/>
        <rFont val="Calibri"/>
        <family val="2"/>
      </rPr>
      <t xml:space="preserve"> </t>
    </r>
    <r>
      <rPr>
        <sz val="9"/>
        <color theme="1"/>
        <rFont val="맑은 고딕"/>
        <family val="3"/>
        <charset val="129"/>
      </rPr>
      <t>확인하세요</t>
    </r>
    <r>
      <rPr>
        <sz val="9"/>
        <color theme="1"/>
        <rFont val="Calibri"/>
        <family val="2"/>
      </rPr>
      <t>.</t>
    </r>
  </si>
  <si>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자동계산필드</t>
    </r>
    <phoneticPr fontId="1" type="noConversion"/>
  </si>
  <si>
    <r>
      <t xml:space="preserve">WBS </t>
    </r>
    <r>
      <rPr>
        <sz val="9"/>
        <color theme="1"/>
        <rFont val="맑은 고딕"/>
        <family val="3"/>
        <charset val="129"/>
      </rPr>
      <t>타이틀</t>
    </r>
    <r>
      <rPr>
        <sz val="9"/>
        <color theme="1"/>
        <rFont val="Calibri"/>
        <family val="2"/>
      </rPr>
      <t xml:space="preserve"> - </t>
    </r>
    <r>
      <rPr>
        <sz val="9"/>
        <color theme="1"/>
        <rFont val="맑은 고딕"/>
        <family val="3"/>
        <charset val="129"/>
      </rPr>
      <t>입력필드</t>
    </r>
    <phoneticPr fontId="1" type="noConversion"/>
  </si>
  <si>
    <r>
      <rPr>
        <sz val="9"/>
        <color theme="1"/>
        <rFont val="맑은 고딕"/>
        <family val="3"/>
        <charset val="129"/>
      </rPr>
      <t>수</t>
    </r>
  </si>
  <si>
    <r>
      <rPr>
        <sz val="9"/>
        <color theme="1"/>
        <rFont val="맑은 고딕"/>
        <family val="3"/>
        <charset val="129"/>
      </rPr>
      <t>주차</t>
    </r>
    <r>
      <rPr>
        <sz val="9"/>
        <color theme="1"/>
        <rFont val="Calibri"/>
        <family val="2"/>
      </rPr>
      <t xml:space="preserve"> </t>
    </r>
    <r>
      <rPr>
        <sz val="9"/>
        <color theme="1"/>
        <rFont val="맑은 고딕"/>
        <family val="3"/>
        <charset val="129"/>
      </rPr>
      <t>표시방식</t>
    </r>
    <phoneticPr fontId="1" type="noConversion"/>
  </si>
  <si>
    <r>
      <rPr>
        <sz val="9"/>
        <color theme="1"/>
        <rFont val="맑은 고딕"/>
        <family val="3"/>
        <charset val="129"/>
      </rPr>
      <t>주별</t>
    </r>
  </si>
  <si>
    <r>
      <rPr>
        <sz val="9"/>
        <color theme="1"/>
        <rFont val="맑은 고딕"/>
        <family val="3"/>
        <charset val="129"/>
      </rPr>
      <t>주별보기</t>
    </r>
  </si>
  <si>
    <r>
      <rPr>
        <sz val="9"/>
        <color theme="1"/>
        <rFont val="맑은 고딕"/>
        <family val="3"/>
        <charset val="129"/>
      </rPr>
      <t>가중치</t>
    </r>
  </si>
  <si>
    <r>
      <rPr>
        <sz val="9"/>
        <color theme="1"/>
        <rFont val="맑은 고딕"/>
        <family val="3"/>
        <charset val="129"/>
      </rPr>
      <t>가중치의</t>
    </r>
    <r>
      <rPr>
        <sz val="9"/>
        <color theme="1"/>
        <rFont val="Calibri"/>
        <family val="2"/>
      </rPr>
      <t xml:space="preserve"> </t>
    </r>
    <r>
      <rPr>
        <sz val="9"/>
        <color theme="1"/>
        <rFont val="맑은 고딕"/>
        <family val="3"/>
        <charset val="129"/>
      </rPr>
      <t>숫자형식이</t>
    </r>
    <r>
      <rPr>
        <sz val="9"/>
        <color theme="1"/>
        <rFont val="Calibri"/>
        <family val="2"/>
      </rPr>
      <t xml:space="preserve"> </t>
    </r>
    <r>
      <rPr>
        <sz val="9"/>
        <color theme="1"/>
        <rFont val="맑은 고딕"/>
        <family val="3"/>
        <charset val="129"/>
      </rPr>
      <t>잘못되었습니다</t>
    </r>
    <r>
      <rPr>
        <sz val="9"/>
        <color theme="1"/>
        <rFont val="Calibri"/>
        <family val="2"/>
      </rPr>
      <t>.</t>
    </r>
  </si>
  <si>
    <r>
      <rPr>
        <sz val="9"/>
        <color theme="1"/>
        <rFont val="맑은 고딕"/>
        <family val="3"/>
        <charset val="129"/>
      </rPr>
      <t>가중치는</t>
    </r>
    <r>
      <rPr>
        <sz val="9"/>
        <color theme="1"/>
        <rFont val="Calibri"/>
        <family val="2"/>
      </rPr>
      <t xml:space="preserve"> 0</t>
    </r>
    <r>
      <rPr>
        <sz val="9"/>
        <color theme="1"/>
        <rFont val="맑은 고딕"/>
        <family val="3"/>
        <charset val="129"/>
      </rPr>
      <t>보다</t>
    </r>
    <r>
      <rPr>
        <sz val="9"/>
        <color theme="1"/>
        <rFont val="Calibri"/>
        <family val="2"/>
      </rPr>
      <t xml:space="preserve"> </t>
    </r>
    <r>
      <rPr>
        <sz val="9"/>
        <color theme="1"/>
        <rFont val="맑은 고딕"/>
        <family val="3"/>
        <charset val="129"/>
      </rPr>
      <t>커야</t>
    </r>
    <r>
      <rPr>
        <sz val="9"/>
        <color theme="1"/>
        <rFont val="Calibri"/>
        <family val="2"/>
      </rPr>
      <t xml:space="preserve"> </t>
    </r>
    <r>
      <rPr>
        <sz val="9"/>
        <color theme="1"/>
        <rFont val="맑은 고딕"/>
        <family val="3"/>
        <charset val="129"/>
      </rPr>
      <t>합니다</t>
    </r>
    <r>
      <rPr>
        <sz val="9"/>
        <color theme="1"/>
        <rFont val="Calibri"/>
        <family val="2"/>
      </rPr>
      <t>.</t>
    </r>
  </si>
  <si>
    <r>
      <rPr>
        <sz val="9"/>
        <color theme="1"/>
        <rFont val="맑은 고딕"/>
        <family val="3"/>
        <charset val="129"/>
      </rPr>
      <t>일정변경</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</si>
  <si>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일정변경</t>
    </r>
    <r>
      <rPr>
        <sz val="9"/>
        <color theme="1"/>
        <rFont val="Calibri"/>
        <family val="2"/>
      </rPr>
      <t xml:space="preserve"> </t>
    </r>
    <r>
      <rPr>
        <sz val="9"/>
        <color theme="1"/>
        <rFont val="맑은 고딕"/>
        <family val="3"/>
        <charset val="129"/>
      </rPr>
      <t>관리</t>
    </r>
    <r>
      <rPr>
        <sz val="9"/>
        <color theme="1"/>
        <rFont val="Calibri"/>
        <family val="2"/>
      </rPr>
      <t xml:space="preserve"> </t>
    </r>
    <r>
      <rPr>
        <sz val="9"/>
        <color theme="1"/>
        <rFont val="맑은 고딕"/>
        <family val="3"/>
        <charset val="129"/>
      </rPr>
      <t>안할</t>
    </r>
    <r>
      <rPr>
        <sz val="9"/>
        <color theme="1"/>
        <rFont val="Calibri"/>
        <family val="2"/>
      </rPr>
      <t xml:space="preserve"> </t>
    </r>
    <r>
      <rPr>
        <sz val="9"/>
        <color theme="1"/>
        <rFont val="맑은 고딕"/>
        <family val="3"/>
        <charset val="129"/>
      </rPr>
      <t>때</t>
    </r>
    <phoneticPr fontId="1" type="noConversion"/>
  </si>
  <si>
    <r>
      <rPr>
        <sz val="9"/>
        <color theme="1"/>
        <rFont val="맑은 고딕"/>
        <family val="3"/>
        <charset val="129"/>
      </rPr>
      <t>작업과</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진척율이</t>
    </r>
    <r>
      <rPr>
        <sz val="9"/>
        <color theme="1"/>
        <rFont val="Calibri"/>
        <family val="2"/>
      </rPr>
      <t xml:space="preserve"> </t>
    </r>
    <r>
      <rPr>
        <sz val="9"/>
        <color theme="1"/>
        <rFont val="맑은 고딕"/>
        <family val="3"/>
        <charset val="129"/>
      </rPr>
      <t>계산되며</t>
    </r>
    <r>
      <rPr>
        <sz val="9"/>
        <color theme="1"/>
        <rFont val="Calibri"/>
        <family val="2"/>
      </rPr>
      <t xml:space="preserve"> </t>
    </r>
    <r>
      <rPr>
        <sz val="9"/>
        <color theme="1"/>
        <rFont val="맑은 고딕"/>
        <family val="3"/>
        <charset val="129"/>
      </rPr>
      <t>작업의</t>
    </r>
    <r>
      <rPr>
        <sz val="9"/>
        <color theme="1"/>
        <rFont val="Calibri"/>
        <family val="2"/>
      </rPr>
      <t xml:space="preserve"> </t>
    </r>
    <r>
      <rPr>
        <sz val="9"/>
        <color theme="1"/>
        <rFont val="맑은 고딕"/>
        <family val="3"/>
        <charset val="129"/>
      </rPr>
      <t>일정을</t>
    </r>
    <r>
      <rPr>
        <sz val="9"/>
        <color theme="1"/>
        <rFont val="Calibri"/>
        <family val="2"/>
      </rPr>
      <t xml:space="preserve"> </t>
    </r>
    <r>
      <rPr>
        <sz val="9"/>
        <color theme="1"/>
        <rFont val="맑은 고딕"/>
        <family val="3"/>
        <charset val="129"/>
      </rPr>
      <t>간트차트로</t>
    </r>
    <r>
      <rPr>
        <sz val="9"/>
        <color theme="1"/>
        <rFont val="Calibri"/>
        <family val="2"/>
      </rPr>
      <t xml:space="preserve"> </t>
    </r>
    <r>
      <rPr>
        <sz val="9"/>
        <color theme="1"/>
        <rFont val="맑은 고딕"/>
        <family val="3"/>
        <charset val="129"/>
      </rPr>
      <t>표시해</t>
    </r>
    <r>
      <rPr>
        <sz val="9"/>
        <color theme="1"/>
        <rFont val="Calibri"/>
        <family val="2"/>
      </rPr>
      <t xml:space="preserve"> </t>
    </r>
    <r>
      <rPr>
        <sz val="9"/>
        <color theme="1"/>
        <rFont val="맑은 고딕"/>
        <family val="3"/>
        <charset val="129"/>
      </rPr>
      <t>준다</t>
    </r>
    <r>
      <rPr>
        <sz val="9"/>
        <color theme="1"/>
        <rFont val="Calibri"/>
        <family val="2"/>
      </rPr>
      <t>.</t>
    </r>
    <phoneticPr fontId="1" type="noConversion"/>
  </si>
  <si>
    <r>
      <rPr>
        <sz val="9"/>
        <color theme="1"/>
        <rFont val="맑은 고딕"/>
        <family val="3"/>
        <charset val="129"/>
      </rPr>
      <t>작업명</t>
    </r>
    <r>
      <rPr>
        <sz val="9"/>
        <color theme="1"/>
        <rFont val="Calibri"/>
        <family val="2"/>
      </rPr>
      <t xml:space="preserve">, </t>
    </r>
    <r>
      <rPr>
        <sz val="9"/>
        <color theme="1"/>
        <rFont val="맑은 고딕"/>
        <family val="3"/>
        <charset val="129"/>
      </rPr>
      <t>시작일</t>
    </r>
    <r>
      <rPr>
        <sz val="9"/>
        <color theme="1"/>
        <rFont val="Calibri"/>
        <family val="2"/>
      </rPr>
      <t xml:space="preserve">, </t>
    </r>
    <r>
      <rPr>
        <sz val="9"/>
        <color theme="1"/>
        <rFont val="맑은 고딕"/>
        <family val="3"/>
        <charset val="129"/>
      </rPr>
      <t>완료일</t>
    </r>
    <r>
      <rPr>
        <sz val="9"/>
        <color theme="1"/>
        <rFont val="Calibri"/>
        <family val="2"/>
      </rPr>
      <t xml:space="preserve">, </t>
    </r>
    <r>
      <rPr>
        <sz val="9"/>
        <color theme="1"/>
        <rFont val="맑은 고딕"/>
        <family val="3"/>
        <charset val="129"/>
      </rPr>
      <t>진척율을</t>
    </r>
    <r>
      <rPr>
        <sz val="9"/>
        <color theme="1"/>
        <rFont val="Calibri"/>
        <family val="2"/>
      </rPr>
      <t xml:space="preserve"> </t>
    </r>
    <r>
      <rPr>
        <sz val="9"/>
        <color theme="1"/>
        <rFont val="맑은 고딕"/>
        <family val="3"/>
        <charset val="129"/>
      </rPr>
      <t>입력하면</t>
    </r>
    <r>
      <rPr>
        <sz val="9"/>
        <color theme="1"/>
        <rFont val="Calibri"/>
        <family val="2"/>
      </rPr>
      <t xml:space="preserve"> </t>
    </r>
    <r>
      <rPr>
        <sz val="9"/>
        <color theme="1"/>
        <rFont val="맑은 고딕"/>
        <family val="3"/>
        <charset val="129"/>
      </rPr>
      <t>휴무일</t>
    </r>
    <r>
      <rPr>
        <sz val="9"/>
        <color theme="1"/>
        <rFont val="Calibri"/>
        <family val="2"/>
      </rPr>
      <t xml:space="preserve">, </t>
    </r>
    <r>
      <rPr>
        <sz val="9"/>
        <color theme="1"/>
        <rFont val="맑은 고딕"/>
        <family val="3"/>
        <charset val="129"/>
      </rPr>
      <t>가중치를</t>
    </r>
    <r>
      <rPr>
        <sz val="9"/>
        <color theme="1"/>
        <rFont val="Calibri"/>
        <family val="2"/>
      </rPr>
      <t xml:space="preserve"> </t>
    </r>
    <r>
      <rPr>
        <sz val="9"/>
        <color theme="1"/>
        <rFont val="맑은 고딕"/>
        <family val="3"/>
        <charset val="129"/>
      </rPr>
      <t>고려하여</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작업기간</t>
    </r>
    <r>
      <rPr>
        <sz val="9"/>
        <color theme="1"/>
        <rFont val="Calibri"/>
        <family val="2"/>
      </rPr>
      <t xml:space="preserve">, </t>
    </r>
    <r>
      <rPr>
        <sz val="9"/>
        <color theme="1"/>
        <rFont val="맑은 고딕"/>
        <family val="3"/>
        <charset val="129"/>
      </rPr>
      <t>계획진척율</t>
    </r>
    <r>
      <rPr>
        <sz val="9"/>
        <color theme="1"/>
        <rFont val="Calibri"/>
        <family val="2"/>
      </rPr>
      <t xml:space="preserve">, </t>
    </r>
    <r>
      <rPr>
        <sz val="9"/>
        <color theme="1"/>
        <rFont val="맑은 고딕"/>
        <family val="3"/>
        <charset val="129"/>
      </rPr>
      <t>실적진척율</t>
    </r>
    <r>
      <rPr>
        <sz val="9"/>
        <color theme="1"/>
        <rFont val="Calibri"/>
        <family val="2"/>
      </rPr>
      <t xml:space="preserve"> </t>
    </r>
    <r>
      <rPr>
        <sz val="9"/>
        <color theme="1"/>
        <rFont val="맑은 고딕"/>
        <family val="3"/>
        <charset val="129"/>
      </rPr>
      <t>등이</t>
    </r>
    <r>
      <rPr>
        <sz val="9"/>
        <color theme="1"/>
        <rFont val="Calibri"/>
        <family val="2"/>
      </rPr>
      <t xml:space="preserve"> </t>
    </r>
    <r>
      <rPr>
        <sz val="9"/>
        <color theme="1"/>
        <rFont val="맑은 고딕"/>
        <family val="3"/>
        <charset val="129"/>
      </rPr>
      <t>계산된다</t>
    </r>
    <r>
      <rPr>
        <sz val="9"/>
        <color theme="1"/>
        <rFont val="Calibri"/>
        <family val="2"/>
      </rPr>
      <t>.</t>
    </r>
  </si>
  <si>
    <r>
      <rPr>
        <sz val="9"/>
        <color theme="1"/>
        <rFont val="맑은 고딕"/>
        <family val="3"/>
        <charset val="129"/>
      </rPr>
      <t>워드</t>
    </r>
  </si>
  <si>
    <r>
      <rPr>
        <sz val="9"/>
        <color theme="1"/>
        <rFont val="맑은 고딕"/>
        <family val="3"/>
        <charset val="129"/>
      </rPr>
      <t>작업량</t>
    </r>
    <r>
      <rPr>
        <sz val="9"/>
        <color theme="1"/>
        <rFont val="Calibri"/>
        <family val="2"/>
      </rPr>
      <t xml:space="preserve"> </t>
    </r>
    <r>
      <rPr>
        <sz val="9"/>
        <color theme="1"/>
        <rFont val="맑은 고딕"/>
        <family val="3"/>
        <charset val="129"/>
      </rPr>
      <t>계산</t>
    </r>
    <phoneticPr fontId="1" type="noConversion"/>
  </si>
  <si>
    <r>
      <t>Workload</t>
    </r>
    <r>
      <rPr>
        <sz val="9"/>
        <color theme="1"/>
        <rFont val="맑은 고딕"/>
        <family val="3"/>
        <charset val="129"/>
      </rPr>
      <t>현황</t>
    </r>
    <r>
      <rPr>
        <sz val="9"/>
        <color theme="1"/>
        <rFont val="Calibri"/>
        <family val="2"/>
      </rPr>
      <t>({})</t>
    </r>
  </si>
  <si>
    <r>
      <t>Workload(</t>
    </r>
    <r>
      <rPr>
        <sz val="9"/>
        <color theme="1"/>
        <rFont val="맑은 고딕"/>
        <family val="3"/>
        <charset val="129"/>
      </rPr>
      <t>월별</t>
    </r>
    <r>
      <rPr>
        <sz val="9"/>
        <color theme="1"/>
        <rFont val="Calibri"/>
        <family val="2"/>
      </rPr>
      <t>)</t>
    </r>
  </si>
  <si>
    <r>
      <t>Workload(</t>
    </r>
    <r>
      <rPr>
        <sz val="9"/>
        <color theme="1"/>
        <rFont val="맑은 고딕"/>
        <family val="3"/>
        <charset val="129"/>
      </rPr>
      <t>담당별</t>
    </r>
    <r>
      <rPr>
        <sz val="9"/>
        <color theme="1"/>
        <rFont val="Calibri"/>
        <family val="2"/>
      </rPr>
      <t>)</t>
    </r>
  </si>
  <si>
    <r>
      <t>Workload(</t>
    </r>
    <r>
      <rPr>
        <sz val="9"/>
        <color theme="1"/>
        <rFont val="맑은 고딕"/>
        <family val="3"/>
        <charset val="129"/>
      </rPr>
      <t>주별</t>
    </r>
    <r>
      <rPr>
        <sz val="9"/>
        <color theme="1"/>
        <rFont val="Calibri"/>
        <family val="2"/>
      </rPr>
      <t>)</t>
    </r>
  </si>
  <si>
    <r>
      <rPr>
        <sz val="9"/>
        <color theme="1"/>
        <rFont val="맑은 고딕"/>
        <family val="3"/>
        <charset val="129"/>
      </rPr>
      <t>저장하기</t>
    </r>
    <r>
      <rPr>
        <sz val="9"/>
        <color theme="1"/>
        <rFont val="Calibri"/>
        <family val="2"/>
      </rPr>
      <t xml:space="preserve"> </t>
    </r>
    <r>
      <rPr>
        <sz val="9"/>
        <color theme="1"/>
        <rFont val="맑은 고딕"/>
        <family val="3"/>
        <charset val="129"/>
      </rPr>
      <t>전에</t>
    </r>
    <r>
      <rPr>
        <sz val="9"/>
        <color theme="1"/>
        <rFont val="Calibri"/>
        <family val="2"/>
      </rPr>
      <t xml:space="preserve"> </t>
    </r>
    <r>
      <rPr>
        <sz val="9"/>
        <color theme="1"/>
        <rFont val="맑은 고딕"/>
        <family val="3"/>
        <charset val="129"/>
      </rPr>
      <t>스케줄을</t>
    </r>
    <r>
      <rPr>
        <sz val="9"/>
        <color theme="1"/>
        <rFont val="Calibri"/>
        <family val="2"/>
      </rPr>
      <t xml:space="preserve"> </t>
    </r>
    <r>
      <rPr>
        <sz val="9"/>
        <color theme="1"/>
        <rFont val="맑은 고딕"/>
        <family val="3"/>
        <charset val="129"/>
      </rPr>
      <t>업데이트하시겠습니까</t>
    </r>
    <r>
      <rPr>
        <sz val="9"/>
        <color theme="1"/>
        <rFont val="Calibri"/>
        <family val="2"/>
      </rPr>
      <t>?\n\n[</t>
    </r>
    <r>
      <rPr>
        <sz val="9"/>
        <color theme="1"/>
        <rFont val="맑은 고딕"/>
        <family val="3"/>
        <charset val="129"/>
      </rPr>
      <t>스케줄업데이트</t>
    </r>
    <r>
      <rPr>
        <sz val="9"/>
        <color theme="1"/>
        <rFont val="Calibri"/>
        <family val="2"/>
      </rPr>
      <t>]</t>
    </r>
    <r>
      <rPr>
        <sz val="9"/>
        <color theme="1"/>
        <rFont val="맑은 고딕"/>
        <family val="3"/>
        <charset val="129"/>
      </rPr>
      <t>메뉴를</t>
    </r>
    <r>
      <rPr>
        <sz val="9"/>
        <color theme="1"/>
        <rFont val="Calibri"/>
        <family val="2"/>
      </rPr>
      <t xml:space="preserve"> </t>
    </r>
    <r>
      <rPr>
        <sz val="9"/>
        <color theme="1"/>
        <rFont val="맑은 고딕"/>
        <family val="3"/>
        <charset val="129"/>
      </rPr>
      <t>클릭할</t>
    </r>
    <r>
      <rPr>
        <sz val="9"/>
        <color theme="1"/>
        <rFont val="Calibri"/>
        <family val="2"/>
      </rPr>
      <t xml:space="preserve"> </t>
    </r>
    <r>
      <rPr>
        <sz val="9"/>
        <color theme="1"/>
        <rFont val="맑은 고딕"/>
        <family val="3"/>
        <charset val="129"/>
      </rPr>
      <t>때와</t>
    </r>
    <r>
      <rPr>
        <sz val="9"/>
        <color theme="1"/>
        <rFont val="Calibri"/>
        <family val="2"/>
      </rPr>
      <t xml:space="preserve"> </t>
    </r>
    <r>
      <rPr>
        <sz val="9"/>
        <color theme="1"/>
        <rFont val="맑은 고딕"/>
        <family val="3"/>
        <charset val="129"/>
      </rPr>
      <t>동일한</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수행합니다</t>
    </r>
    <r>
      <rPr>
        <sz val="9"/>
        <color theme="1"/>
        <rFont val="Calibri"/>
        <family val="2"/>
      </rPr>
      <t>.</t>
    </r>
    <phoneticPr fontId="3" type="noConversion"/>
  </si>
  <si>
    <r>
      <rPr>
        <sz val="9"/>
        <color theme="1"/>
        <rFont val="맑은 고딕"/>
        <family val="3"/>
        <charset val="129"/>
      </rPr>
      <t>엑셀간트</t>
    </r>
    <r>
      <rPr>
        <sz val="9"/>
        <color theme="1"/>
        <rFont val="Calibri"/>
        <family val="2"/>
      </rPr>
      <t xml:space="preserve">(XLGantt) - </t>
    </r>
    <r>
      <rPr>
        <sz val="9"/>
        <color theme="1"/>
        <rFont val="맑은 고딕"/>
        <family val="3"/>
        <charset val="129"/>
      </rPr>
      <t>엑셀</t>
    </r>
    <r>
      <rPr>
        <sz val="9"/>
        <color theme="1"/>
        <rFont val="Calibri"/>
        <family val="2"/>
      </rPr>
      <t xml:space="preserve"> </t>
    </r>
    <r>
      <rPr>
        <sz val="9"/>
        <color theme="1"/>
        <rFont val="맑은 고딕"/>
        <family val="3"/>
        <charset val="129"/>
      </rPr>
      <t>일정관리</t>
    </r>
    <phoneticPr fontId="1" type="noConversion"/>
  </si>
  <si>
    <r>
      <t xml:space="preserve">XLGantt Version {} </t>
    </r>
    <r>
      <rPr>
        <sz val="9"/>
        <color theme="1"/>
        <rFont val="맑은 고딕"/>
        <family val="3"/>
        <charset val="129"/>
      </rPr>
      <t>사용조건</t>
    </r>
    <phoneticPr fontId="1" type="noConversion"/>
  </si>
  <si>
    <r>
      <rPr>
        <sz val="9"/>
        <color theme="1"/>
        <rFont val="맑은 고딕"/>
        <family val="3"/>
        <charset val="129"/>
      </rPr>
      <t>사용하고</t>
    </r>
    <r>
      <rPr>
        <sz val="9"/>
        <color theme="1"/>
        <rFont val="Calibri"/>
        <family val="2"/>
      </rPr>
      <t xml:space="preserve"> </t>
    </r>
    <r>
      <rPr>
        <sz val="9"/>
        <color theme="1"/>
        <rFont val="맑은 고딕"/>
        <family val="3"/>
        <charset val="129"/>
      </rPr>
      <t>계신</t>
    </r>
    <r>
      <rPr>
        <sz val="9"/>
        <color theme="1"/>
        <rFont val="Calibri"/>
        <family val="2"/>
      </rPr>
      <t xml:space="preserve"> XLGantt</t>
    </r>
    <r>
      <rPr>
        <sz val="9"/>
        <color theme="1"/>
        <rFont val="맑은 고딕"/>
        <family val="3"/>
        <charset val="129"/>
      </rPr>
      <t>는</t>
    </r>
    <r>
      <rPr>
        <sz val="9"/>
        <color theme="1"/>
        <rFont val="Calibri"/>
        <family val="2"/>
      </rPr>
      <t xml:space="preserve"> </t>
    </r>
    <r>
      <rPr>
        <sz val="9"/>
        <color theme="1"/>
        <rFont val="맑은 고딕"/>
        <family val="3"/>
        <charset val="129"/>
      </rPr>
      <t>최신</t>
    </r>
    <r>
      <rPr>
        <sz val="9"/>
        <color theme="1"/>
        <rFont val="Calibri"/>
        <family val="2"/>
      </rPr>
      <t xml:space="preserve"> </t>
    </r>
    <r>
      <rPr>
        <sz val="9"/>
        <color theme="1"/>
        <rFont val="맑은 고딕"/>
        <family val="3"/>
        <charset val="129"/>
      </rPr>
      <t>버전입니다</t>
    </r>
    <r>
      <rPr>
        <sz val="9"/>
        <color theme="1"/>
        <rFont val="Calibri"/>
        <family val="2"/>
      </rPr>
      <t>.\n</t>
    </r>
    <r>
      <rPr>
        <sz val="9"/>
        <color theme="1"/>
        <rFont val="맑은 고딕"/>
        <family val="3"/>
        <charset val="129"/>
      </rPr>
      <t>현재</t>
    </r>
    <r>
      <rPr>
        <sz val="9"/>
        <color theme="1"/>
        <rFont val="Calibri"/>
        <family val="2"/>
      </rPr>
      <t xml:space="preserve"> </t>
    </r>
    <r>
      <rPr>
        <sz val="9"/>
        <color theme="1"/>
        <rFont val="맑은 고딕"/>
        <family val="3"/>
        <charset val="129"/>
      </rPr>
      <t>버전</t>
    </r>
    <r>
      <rPr>
        <sz val="9"/>
        <color theme="1"/>
        <rFont val="Calibri"/>
        <family val="2"/>
      </rPr>
      <t xml:space="preserve"> : {}</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</si>
  <si>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일정을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</si>
  <si>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 Sheet</t>
    </r>
    <r>
      <rPr>
        <sz val="9"/>
        <color theme="1"/>
        <rFont val="맑은 고딕"/>
        <family val="3"/>
        <charset val="129"/>
      </rPr>
      <t>에서만</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</si>
  <si>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t>Bar chart</t>
    </r>
    <r>
      <rPr>
        <sz val="9"/>
        <color theme="1"/>
        <rFont val="맑은 고딕"/>
        <family val="3"/>
        <charset val="129"/>
      </rPr>
      <t>형태로</t>
    </r>
    <r>
      <rPr>
        <sz val="9"/>
        <color theme="1"/>
        <rFont val="Calibri"/>
        <family val="2"/>
      </rPr>
      <t xml:space="preserve"> </t>
    </r>
    <r>
      <rPr>
        <sz val="9"/>
        <color theme="1"/>
        <rFont val="맑은 고딕"/>
        <family val="3"/>
        <charset val="129"/>
      </rPr>
      <t>간트차트를</t>
    </r>
    <r>
      <rPr>
        <sz val="9"/>
        <color theme="1"/>
        <rFont val="Calibri"/>
        <family val="2"/>
      </rPr>
      <t xml:space="preserve"> </t>
    </r>
    <r>
      <rPr>
        <sz val="9"/>
        <color theme="1"/>
        <rFont val="맑은 고딕"/>
        <family val="3"/>
        <charset val="129"/>
      </rPr>
      <t>보여주며</t>
    </r>
    <r>
      <rPr>
        <sz val="9"/>
        <color theme="1"/>
        <rFont val="Calibri"/>
        <family val="2"/>
      </rPr>
      <t xml:space="preserve"> </t>
    </r>
    <r>
      <rPr>
        <sz val="9"/>
        <color theme="1"/>
        <rFont val="맑은 고딕"/>
        <family val="3"/>
        <charset val="129"/>
      </rPr>
      <t>여러</t>
    </r>
    <r>
      <rPr>
        <sz val="9"/>
        <color theme="1"/>
        <rFont val="Calibri"/>
        <family val="2"/>
      </rPr>
      <t xml:space="preserve"> </t>
    </r>
    <r>
      <rPr>
        <sz val="9"/>
        <color theme="1"/>
        <rFont val="맑은 고딕"/>
        <family val="3"/>
        <charset val="129"/>
      </rPr>
      <t>가지</t>
    </r>
    <r>
      <rPr>
        <sz val="9"/>
        <color theme="1"/>
        <rFont val="Calibri"/>
        <family val="2"/>
      </rPr>
      <t xml:space="preserve"> </t>
    </r>
    <r>
      <rPr>
        <sz val="9"/>
        <color theme="1"/>
        <rFont val="맑은 고딕"/>
        <family val="3"/>
        <charset val="129"/>
      </rPr>
      <t>표시방법을</t>
    </r>
    <r>
      <rPr>
        <sz val="9"/>
        <color theme="1"/>
        <rFont val="Calibri"/>
        <family val="2"/>
      </rPr>
      <t xml:space="preserve"> </t>
    </r>
    <r>
      <rPr>
        <sz val="9"/>
        <color theme="1"/>
        <rFont val="맑은 고딕"/>
        <family val="3"/>
        <charset val="129"/>
      </rPr>
      <t>옵션에서</t>
    </r>
    <r>
      <rPr>
        <sz val="9"/>
        <color theme="1"/>
        <rFont val="Calibri"/>
        <family val="2"/>
      </rPr>
      <t xml:space="preserve"> </t>
    </r>
    <r>
      <rPr>
        <sz val="9"/>
        <color theme="1"/>
        <rFont val="맑은 고딕"/>
        <family val="3"/>
        <charset val="129"/>
      </rPr>
      <t>설정할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</si>
  <si>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작업을</t>
    </r>
    <r>
      <rPr>
        <sz val="9"/>
        <color theme="1"/>
        <rFont val="Calibri"/>
        <family val="2"/>
      </rPr>
      <t xml:space="preserve"> </t>
    </r>
    <r>
      <rPr>
        <sz val="9"/>
        <color theme="1"/>
        <rFont val="맑은 고딕"/>
        <family val="3"/>
        <charset val="129"/>
      </rPr>
      <t>편집할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t>
    </r>
  </si>
  <si>
    <r>
      <rPr>
        <sz val="9"/>
        <color theme="1"/>
        <rFont val="맑은 고딕"/>
        <family val="3"/>
        <charset val="129"/>
      </rPr>
      <t>엑셀간트에서는</t>
    </r>
    <r>
      <rPr>
        <sz val="9"/>
        <color theme="1"/>
        <rFont val="Calibri"/>
        <family val="2"/>
      </rPr>
      <t xml:space="preserve"> </t>
    </r>
    <r>
      <rPr>
        <sz val="9"/>
        <color theme="1"/>
        <rFont val="맑은 고딕"/>
        <family val="3"/>
        <charset val="129"/>
      </rPr>
      <t>입력된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정보를</t>
    </r>
    <r>
      <rPr>
        <sz val="9"/>
        <color theme="1"/>
        <rFont val="Calibri"/>
        <family val="2"/>
      </rPr>
      <t xml:space="preserve"> </t>
    </r>
    <r>
      <rPr>
        <sz val="9"/>
        <color theme="1"/>
        <rFont val="맑은 고딕"/>
        <family val="3"/>
        <charset val="129"/>
      </rPr>
      <t>가지고</t>
    </r>
    <r>
      <rPr>
        <sz val="9"/>
        <color theme="1"/>
        <rFont val="Calibri"/>
        <family val="2"/>
      </rPr>
      <t xml:space="preserve"> </t>
    </r>
    <r>
      <rPr>
        <sz val="9"/>
        <color theme="1"/>
        <rFont val="맑은 고딕"/>
        <family val="3"/>
        <charset val="129"/>
      </rPr>
      <t>올</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함수와</t>
    </r>
    <r>
      <rPr>
        <sz val="9"/>
        <color theme="1"/>
        <rFont val="Calibri"/>
        <family val="2"/>
      </rPr>
      <t xml:space="preserve"> </t>
    </r>
    <r>
      <rPr>
        <sz val="9"/>
        <color theme="1"/>
        <rFont val="맑은 고딕"/>
        <family val="3"/>
        <charset val="129"/>
      </rPr>
      <t>엑셀의</t>
    </r>
    <r>
      <rPr>
        <sz val="9"/>
        <color theme="1"/>
        <rFont val="Calibri"/>
        <family val="2"/>
      </rPr>
      <t xml:space="preserve"> </t>
    </r>
    <r>
      <rPr>
        <sz val="9"/>
        <color theme="1"/>
        <rFont val="맑은 고딕"/>
        <family val="3"/>
        <charset val="129"/>
      </rPr>
      <t>수식계산</t>
    </r>
    <r>
      <rPr>
        <sz val="9"/>
        <color theme="1"/>
        <rFont val="Calibri"/>
        <family val="2"/>
      </rPr>
      <t xml:space="preserve"> </t>
    </r>
    <r>
      <rPr>
        <sz val="9"/>
        <color theme="1"/>
        <rFont val="맑은 고딕"/>
        <family val="3"/>
        <charset val="129"/>
      </rPr>
      <t>기능</t>
    </r>
    <r>
      <rPr>
        <sz val="9"/>
        <color theme="1"/>
        <rFont val="Calibri"/>
        <family val="2"/>
      </rPr>
      <t xml:space="preserve"> </t>
    </r>
    <r>
      <rPr>
        <sz val="9"/>
        <color theme="1"/>
        <rFont val="맑은 고딕"/>
        <family val="3"/>
        <charset val="129"/>
      </rPr>
      <t>등을</t>
    </r>
    <r>
      <rPr>
        <sz val="9"/>
        <color theme="1"/>
        <rFont val="Calibri"/>
        <family val="2"/>
      </rPr>
      <t xml:space="preserve"> </t>
    </r>
    <r>
      <rPr>
        <sz val="9"/>
        <color theme="1"/>
        <rFont val="맑은 고딕"/>
        <family val="3"/>
        <charset val="129"/>
      </rPr>
      <t>엑셀간트에</t>
    </r>
    <r>
      <rPr>
        <sz val="9"/>
        <color theme="1"/>
        <rFont val="Calibri"/>
        <family val="2"/>
      </rPr>
      <t xml:space="preserve"> </t>
    </r>
    <r>
      <rPr>
        <sz val="9"/>
        <color theme="1"/>
        <rFont val="맑은 고딕"/>
        <family val="3"/>
        <charset val="129"/>
      </rPr>
      <t>포함할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있는</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제공하고</t>
    </r>
    <r>
      <rPr>
        <sz val="9"/>
        <color theme="1"/>
        <rFont val="Calibri"/>
        <family val="2"/>
      </rPr>
      <t xml:space="preserve"> </t>
    </r>
    <r>
      <rPr>
        <sz val="9"/>
        <color theme="1"/>
        <rFont val="맑은 고딕"/>
        <family val="3"/>
        <charset val="129"/>
      </rPr>
      <t>있다</t>
    </r>
    <r>
      <rPr>
        <sz val="9"/>
        <color theme="1"/>
        <rFont val="Calibri"/>
        <family val="2"/>
      </rPr>
      <t xml:space="preserve">.
</t>
    </r>
    <r>
      <rPr>
        <sz val="9"/>
        <color theme="1"/>
        <rFont val="맑은 고딕"/>
        <family val="3"/>
        <charset val="129"/>
      </rPr>
      <t>이</t>
    </r>
    <r>
      <rPr>
        <sz val="9"/>
        <color theme="1"/>
        <rFont val="Calibri"/>
        <family val="2"/>
      </rPr>
      <t xml:space="preserve"> </t>
    </r>
    <r>
      <rPr>
        <sz val="9"/>
        <color theme="1"/>
        <rFont val="맑은 고딕"/>
        <family val="3"/>
        <charset val="129"/>
      </rPr>
      <t>기능을</t>
    </r>
    <r>
      <rPr>
        <sz val="9"/>
        <color theme="1"/>
        <rFont val="Calibri"/>
        <family val="2"/>
      </rPr>
      <t xml:space="preserve"> </t>
    </r>
    <r>
      <rPr>
        <sz val="9"/>
        <color theme="1"/>
        <rFont val="맑은 고딕"/>
        <family val="3"/>
        <charset val="129"/>
      </rPr>
      <t>이용하면</t>
    </r>
    <r>
      <rPr>
        <sz val="9"/>
        <color theme="1"/>
        <rFont val="Calibri"/>
        <family val="2"/>
      </rPr>
      <t xml:space="preserve"> </t>
    </r>
    <r>
      <rPr>
        <sz val="9"/>
        <color theme="1"/>
        <rFont val="맑은 고딕"/>
        <family val="3"/>
        <charset val="129"/>
      </rPr>
      <t>프로젝트의</t>
    </r>
    <r>
      <rPr>
        <sz val="9"/>
        <color theme="1"/>
        <rFont val="Calibri"/>
        <family val="2"/>
      </rPr>
      <t xml:space="preserve"> </t>
    </r>
    <r>
      <rPr>
        <sz val="9"/>
        <color theme="1"/>
        <rFont val="맑은 고딕"/>
        <family val="3"/>
        <charset val="129"/>
      </rPr>
      <t>상황에</t>
    </r>
    <r>
      <rPr>
        <sz val="9"/>
        <color theme="1"/>
        <rFont val="Calibri"/>
        <family val="2"/>
      </rPr>
      <t xml:space="preserve"> </t>
    </r>
    <r>
      <rPr>
        <sz val="9"/>
        <color theme="1"/>
        <rFont val="맑은 고딕"/>
        <family val="3"/>
        <charset val="129"/>
      </rPr>
      <t>맞도록</t>
    </r>
    <r>
      <rPr>
        <sz val="9"/>
        <color theme="1"/>
        <rFont val="Calibri"/>
        <family val="2"/>
      </rPr>
      <t xml:space="preserve"> </t>
    </r>
    <r>
      <rPr>
        <sz val="9"/>
        <color theme="1"/>
        <rFont val="맑은 고딕"/>
        <family val="3"/>
        <charset val="129"/>
      </rPr>
      <t>엑셀간트를</t>
    </r>
    <r>
      <rPr>
        <sz val="9"/>
        <color theme="1"/>
        <rFont val="Calibri"/>
        <family val="2"/>
      </rPr>
      <t xml:space="preserve"> </t>
    </r>
    <r>
      <rPr>
        <sz val="9"/>
        <color theme="1"/>
        <rFont val="맑은 고딕"/>
        <family val="3"/>
        <charset val="129"/>
      </rPr>
      <t>재</t>
    </r>
    <r>
      <rPr>
        <sz val="9"/>
        <color theme="1"/>
        <rFont val="Calibri"/>
        <family val="2"/>
      </rPr>
      <t xml:space="preserve"> </t>
    </r>
    <r>
      <rPr>
        <sz val="9"/>
        <color theme="1"/>
        <rFont val="맑은 고딕"/>
        <family val="3"/>
        <charset val="129"/>
      </rPr>
      <t>구성할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</si>
  <si>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t>{} Sheet</t>
    </r>
    <r>
      <rPr>
        <sz val="9"/>
        <color theme="1"/>
        <rFont val="맑은 고딕"/>
        <family val="3"/>
        <charset val="129"/>
      </rPr>
      <t>에서만</t>
    </r>
    <r>
      <rPr>
        <sz val="9"/>
        <color theme="1"/>
        <rFont val="Calibri"/>
        <family val="2"/>
      </rPr>
      <t xml:space="preserve"> </t>
    </r>
    <r>
      <rPr>
        <sz val="9"/>
        <color theme="1"/>
        <rFont val="맑은 고딕"/>
        <family val="3"/>
        <charset val="129"/>
      </rPr>
      <t>작업가능합니다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</si>
  <si>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작업할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</si>
  <si>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Outlook</t>
    </r>
    <r>
      <rPr>
        <sz val="9"/>
        <color theme="1"/>
        <rFont val="맑은 고딕"/>
        <family val="3"/>
        <charset val="129"/>
      </rPr>
      <t>작업을</t>
    </r>
    <r>
      <rPr>
        <sz val="9"/>
        <color theme="1"/>
        <rFont val="Calibri"/>
        <family val="2"/>
      </rPr>
      <t xml:space="preserve"> </t>
    </r>
    <r>
      <rPr>
        <sz val="9"/>
        <color theme="1"/>
        <rFont val="맑은 고딕"/>
        <family val="3"/>
        <charset val="129"/>
      </rPr>
      <t>등록할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</si>
  <si>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A</t>
    </r>
    <r>
      <rPr>
        <sz val="9"/>
        <color theme="1"/>
        <rFont val="맑은 고딕"/>
        <family val="3"/>
        <charset val="129"/>
      </rPr>
      <t>열부터</t>
    </r>
    <r>
      <rPr>
        <sz val="9"/>
        <color theme="1"/>
        <rFont val="Calibri"/>
        <family val="2"/>
      </rPr>
      <t xml:space="preserve"> C</t>
    </r>
    <r>
      <rPr>
        <sz val="9"/>
        <color theme="1"/>
        <rFont val="맑은 고딕"/>
        <family val="3"/>
        <charset val="129"/>
      </rPr>
      <t>열까지는</t>
    </r>
    <r>
      <rPr>
        <sz val="9"/>
        <color theme="1"/>
        <rFont val="Calibri"/>
        <family val="2"/>
      </rPr>
      <t xml:space="preserve"> XLGantt</t>
    </r>
    <r>
      <rPr>
        <sz val="9"/>
        <color theme="1"/>
        <rFont val="맑은 고딕"/>
        <family val="3"/>
        <charset val="129"/>
      </rPr>
      <t>프로그램에서</t>
    </r>
    <r>
      <rPr>
        <sz val="9"/>
        <color theme="1"/>
        <rFont val="Calibri"/>
        <family val="2"/>
      </rPr>
      <t xml:space="preserve"> </t>
    </r>
    <r>
      <rPr>
        <sz val="9"/>
        <color theme="1"/>
        <rFont val="맑은 고딕"/>
        <family val="3"/>
        <charset val="129"/>
      </rPr>
      <t>사용하는</t>
    </r>
    <r>
      <rPr>
        <sz val="9"/>
        <color theme="1"/>
        <rFont val="Calibri"/>
        <family val="2"/>
      </rPr>
      <t xml:space="preserve"> </t>
    </r>
    <r>
      <rPr>
        <sz val="9"/>
        <color theme="1"/>
        <rFont val="맑은 고딕"/>
        <family val="3"/>
        <charset val="129"/>
      </rPr>
      <t>영역이므로</t>
    </r>
    <r>
      <rPr>
        <sz val="9"/>
        <color theme="1"/>
        <rFont val="Calibri"/>
        <family val="2"/>
      </rPr>
      <t xml:space="preserve"> </t>
    </r>
    <r>
      <rPr>
        <sz val="9"/>
        <color theme="1"/>
        <rFont val="맑은 고딕"/>
        <family val="3"/>
        <charset val="129"/>
      </rPr>
      <t>임의로</t>
    </r>
    <r>
      <rPr>
        <sz val="9"/>
        <color theme="1"/>
        <rFont val="Calibri"/>
        <family val="2"/>
      </rPr>
      <t xml:space="preserve"> </t>
    </r>
    <r>
      <rPr>
        <sz val="9"/>
        <color theme="1"/>
        <rFont val="맑은 고딕"/>
        <family val="3"/>
        <charset val="129"/>
      </rPr>
      <t>열을</t>
    </r>
    <r>
      <rPr>
        <sz val="9"/>
        <color theme="1"/>
        <rFont val="Calibri"/>
        <family val="2"/>
      </rPr>
      <t xml:space="preserve"> </t>
    </r>
    <r>
      <rPr>
        <sz val="9"/>
        <color theme="1"/>
        <rFont val="맑은 고딕"/>
        <family val="3"/>
        <charset val="129"/>
      </rPr>
      <t>추가할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</si>
  <si>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입력불가</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</si>
  <si>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오른쪽으로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</si>
  <si>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선택한</t>
    </r>
    <r>
      <rPr>
        <sz val="9"/>
        <color theme="1"/>
        <rFont val="Calibri"/>
        <family val="2"/>
      </rPr>
      <t xml:space="preserve"> </t>
    </r>
    <r>
      <rPr>
        <sz val="9"/>
        <color theme="1"/>
        <rFont val="맑은 고딕"/>
        <family val="3"/>
        <charset val="129"/>
      </rPr>
      <t>위치에서는</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</si>
  <si>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더</t>
    </r>
    <r>
      <rPr>
        <sz val="9"/>
        <color theme="1"/>
        <rFont val="Calibri"/>
        <family val="2"/>
      </rPr>
      <t xml:space="preserve"> </t>
    </r>
    <r>
      <rPr>
        <sz val="9"/>
        <color theme="1"/>
        <rFont val="맑은 고딕"/>
        <family val="3"/>
        <charset val="129"/>
      </rPr>
      <t>이상</t>
    </r>
    <r>
      <rPr>
        <sz val="9"/>
        <color theme="1"/>
        <rFont val="Calibri"/>
        <family val="2"/>
      </rPr>
      <t xml:space="preserve"> </t>
    </r>
    <r>
      <rPr>
        <sz val="9"/>
        <color theme="1"/>
        <rFont val="맑은 고딕"/>
        <family val="3"/>
        <charset val="129"/>
      </rPr>
      <t>왼쪽으로</t>
    </r>
    <r>
      <rPr>
        <sz val="9"/>
        <color theme="1"/>
        <rFont val="Calibri"/>
        <family val="2"/>
      </rPr>
      <t xml:space="preserve"> </t>
    </r>
    <r>
      <rPr>
        <sz val="9"/>
        <color theme="1"/>
        <rFont val="맑은 고딕"/>
        <family val="3"/>
        <charset val="129"/>
      </rPr>
      <t>이동할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</si>
  <si>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t>Microsoft Outlook</t>
    </r>
    <r>
      <rPr>
        <sz val="9"/>
        <color theme="1"/>
        <rFont val="맑은 고딕"/>
        <family val="3"/>
        <charset val="129"/>
      </rPr>
      <t>을</t>
    </r>
    <r>
      <rPr>
        <sz val="9"/>
        <color theme="1"/>
        <rFont val="Calibri"/>
        <family val="2"/>
      </rPr>
      <t xml:space="preserve"> </t>
    </r>
    <r>
      <rPr>
        <sz val="9"/>
        <color theme="1"/>
        <rFont val="맑은 고딕"/>
        <family val="3"/>
        <charset val="129"/>
      </rPr>
      <t>사용할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.\n</t>
    </r>
    <r>
      <rPr>
        <sz val="9"/>
        <color theme="1"/>
        <rFont val="맑은 고딕"/>
        <family val="3"/>
        <charset val="129"/>
      </rPr>
      <t>정상적으로</t>
    </r>
    <r>
      <rPr>
        <sz val="9"/>
        <color theme="1"/>
        <rFont val="Calibri"/>
        <family val="2"/>
      </rPr>
      <t xml:space="preserve"> </t>
    </r>
    <r>
      <rPr>
        <sz val="9"/>
        <color theme="1"/>
        <rFont val="맑은 고딕"/>
        <family val="3"/>
        <charset val="129"/>
      </rPr>
      <t>설치되어</t>
    </r>
    <r>
      <rPr>
        <sz val="9"/>
        <color theme="1"/>
        <rFont val="Calibri"/>
        <family val="2"/>
      </rPr>
      <t xml:space="preserve"> </t>
    </r>
    <r>
      <rPr>
        <sz val="9"/>
        <color theme="1"/>
        <rFont val="맑은 고딕"/>
        <family val="3"/>
        <charset val="129"/>
      </rPr>
      <t>있는지</t>
    </r>
    <r>
      <rPr>
        <sz val="9"/>
        <color theme="1"/>
        <rFont val="Calibri"/>
        <family val="2"/>
      </rPr>
      <t xml:space="preserve"> </t>
    </r>
    <r>
      <rPr>
        <sz val="9"/>
        <color theme="1"/>
        <rFont val="맑은 고딕"/>
        <family val="3"/>
        <charset val="129"/>
      </rPr>
      <t>확인하세요</t>
    </r>
    <r>
      <rPr>
        <sz val="9"/>
        <color theme="1"/>
        <rFont val="Calibri"/>
        <family val="2"/>
      </rPr>
      <t>.</t>
    </r>
  </si>
  <si>
    <r>
      <rPr>
        <sz val="9"/>
        <color theme="1"/>
        <rFont val="맑은 고딕"/>
        <family val="3"/>
        <charset val="129"/>
      </rPr>
      <t>진척율을</t>
    </r>
    <r>
      <rPr>
        <sz val="9"/>
        <color theme="1"/>
        <rFont val="Calibri"/>
        <family val="2"/>
      </rPr>
      <t xml:space="preserve"> </t>
    </r>
    <r>
      <rPr>
        <sz val="9"/>
        <color theme="1"/>
        <rFont val="맑은 고딕"/>
        <family val="3"/>
        <charset val="129"/>
      </rPr>
      <t>이용하여</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전체</t>
    </r>
    <r>
      <rPr>
        <sz val="9"/>
        <color theme="1"/>
        <rFont val="Calibri"/>
        <family val="2"/>
      </rPr>
      <t xml:space="preserve"> </t>
    </r>
    <r>
      <rPr>
        <sz val="9"/>
        <color theme="1"/>
        <rFont val="맑은 고딕"/>
        <family val="3"/>
        <charset val="129"/>
      </rPr>
      <t>진행상황을</t>
    </r>
    <r>
      <rPr>
        <sz val="9"/>
        <color theme="1"/>
        <rFont val="Calibri"/>
        <family val="2"/>
      </rPr>
      <t xml:space="preserve"> </t>
    </r>
    <r>
      <rPr>
        <sz val="9"/>
        <color theme="1"/>
        <rFont val="맑은 고딕"/>
        <family val="3"/>
        <charset val="129"/>
      </rPr>
      <t>파악할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있다</t>
    </r>
    <r>
      <rPr>
        <sz val="9"/>
        <color theme="1"/>
        <rFont val="Calibri"/>
        <family val="2"/>
      </rPr>
      <t>.</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</si>
  <si>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완료일만</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변경된</t>
    </r>
    <r>
      <rPr>
        <sz val="9"/>
        <color theme="1"/>
        <rFont val="Calibri"/>
        <family val="2"/>
      </rPr>
      <t xml:space="preserve"> </t>
    </r>
    <r>
      <rPr>
        <sz val="9"/>
        <color theme="1"/>
        <rFont val="맑은 고딕"/>
        <family val="3"/>
        <charset val="129"/>
      </rPr>
      <t>일정은</t>
    </r>
    <r>
      <rPr>
        <sz val="9"/>
        <color theme="1"/>
        <rFont val="Calibri"/>
        <family val="2"/>
      </rPr>
      <t xml:space="preserve"> </t>
    </r>
    <r>
      <rPr>
        <sz val="9"/>
        <color theme="1"/>
        <rFont val="맑은 고딕"/>
        <family val="3"/>
        <charset val="129"/>
      </rPr>
      <t>관리하지</t>
    </r>
    <r>
      <rPr>
        <sz val="9"/>
        <color theme="1"/>
        <rFont val="Calibri"/>
        <family val="2"/>
      </rPr>
      <t xml:space="preserve"> </t>
    </r>
    <r>
      <rPr>
        <sz val="9"/>
        <color theme="1"/>
        <rFont val="맑은 고딕"/>
        <family val="3"/>
        <charset val="129"/>
      </rPr>
      <t>않습니다</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변경되었을</t>
    </r>
    <r>
      <rPr>
        <sz val="9"/>
        <color theme="1"/>
        <rFont val="Calibri"/>
        <family val="2"/>
      </rPr>
      <t xml:space="preserve"> </t>
    </r>
    <r>
      <rPr>
        <sz val="9"/>
        <color theme="1"/>
        <rFont val="맑은 고딕"/>
        <family val="3"/>
        <charset val="129"/>
      </rPr>
      <t>때는</t>
    </r>
    <r>
      <rPr>
        <sz val="9"/>
        <color theme="1"/>
        <rFont val="Calibri"/>
        <family val="2"/>
      </rPr>
      <t xml:space="preserve"> </t>
    </r>
    <r>
      <rPr>
        <sz val="9"/>
        <color theme="1"/>
        <rFont val="맑은 고딕"/>
        <family val="3"/>
        <charset val="129"/>
      </rPr>
      <t>시작일과</t>
    </r>
    <r>
      <rPr>
        <sz val="9"/>
        <color theme="1"/>
        <rFont val="Calibri"/>
        <family val="2"/>
      </rPr>
      <t xml:space="preserve"> </t>
    </r>
    <r>
      <rPr>
        <sz val="9"/>
        <color theme="1"/>
        <rFont val="맑은 고딕"/>
        <family val="3"/>
        <charset val="129"/>
      </rPr>
      <t>완료일을</t>
    </r>
    <r>
      <rPr>
        <sz val="9"/>
        <color theme="1"/>
        <rFont val="Calibri"/>
        <family val="2"/>
      </rPr>
      <t xml:space="preserve"> </t>
    </r>
    <r>
      <rPr>
        <sz val="9"/>
        <color theme="1"/>
        <rFont val="맑은 고딕"/>
        <family val="3"/>
        <charset val="129"/>
      </rPr>
      <t>변경합니다</t>
    </r>
    <r>
      <rPr>
        <sz val="9"/>
        <color theme="1"/>
        <rFont val="Calibri"/>
        <family val="2"/>
      </rPr>
      <t xml:space="preserve">.  </t>
    </r>
  </si>
  <si>
    <r>
      <rPr>
        <sz val="9"/>
        <color theme="1"/>
        <rFont val="맑은 고딕"/>
        <family val="3"/>
        <charset val="129"/>
      </rPr>
      <t>일정을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때</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시작일</t>
    </r>
    <r>
      <rPr>
        <sz val="9"/>
        <color theme="1"/>
        <rFont val="Calibri"/>
        <family val="2"/>
      </rPr>
      <t>/</t>
    </r>
    <r>
      <rPr>
        <sz val="9"/>
        <color theme="1"/>
        <rFont val="맑은 고딕"/>
        <family val="3"/>
        <charset val="129"/>
      </rPr>
      <t>완료일</t>
    </r>
    <r>
      <rPr>
        <sz val="9"/>
        <color theme="1"/>
        <rFont val="Calibri"/>
        <family val="2"/>
      </rPr>
      <t xml:space="preserve">, </t>
    </r>
    <r>
      <rPr>
        <sz val="9"/>
        <color theme="1"/>
        <rFont val="맑은 고딕"/>
        <family val="3"/>
        <charset val="129"/>
      </rPr>
      <t>실제시작일</t>
    </r>
    <r>
      <rPr>
        <sz val="9"/>
        <color theme="1"/>
        <rFont val="Calibri"/>
        <family val="2"/>
      </rPr>
      <t>/</t>
    </r>
    <r>
      <rPr>
        <sz val="9"/>
        <color theme="1"/>
        <rFont val="맑은 고딕"/>
        <family val="3"/>
        <charset val="129"/>
      </rPr>
      <t>실제완료일을</t>
    </r>
    <r>
      <rPr>
        <sz val="9"/>
        <color theme="1"/>
        <rFont val="Calibri"/>
        <family val="2"/>
      </rPr>
      <t xml:space="preserve"> </t>
    </r>
    <r>
      <rPr>
        <sz val="9"/>
        <color theme="1"/>
        <rFont val="맑은 고딕"/>
        <family val="3"/>
        <charset val="129"/>
      </rPr>
      <t>사용합니다</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시작된</t>
    </r>
    <r>
      <rPr>
        <sz val="9"/>
        <color theme="1"/>
        <rFont val="Calibri"/>
        <family val="2"/>
      </rPr>
      <t xml:space="preserve"> </t>
    </r>
    <r>
      <rPr>
        <sz val="9"/>
        <color theme="1"/>
        <rFont val="맑은 고딕"/>
        <family val="3"/>
        <charset val="129"/>
      </rPr>
      <t>날짜와</t>
    </r>
    <r>
      <rPr>
        <sz val="9"/>
        <color theme="1"/>
        <rFont val="Calibri"/>
        <family val="2"/>
      </rPr>
      <t xml:space="preserve"> </t>
    </r>
    <r>
      <rPr>
        <sz val="9"/>
        <color theme="1"/>
        <rFont val="맑은 고딕"/>
        <family val="3"/>
        <charset val="129"/>
      </rPr>
      <t>실제</t>
    </r>
    <r>
      <rPr>
        <sz val="9"/>
        <color theme="1"/>
        <rFont val="Calibri"/>
        <family val="2"/>
      </rPr>
      <t xml:space="preserve"> </t>
    </r>
    <r>
      <rPr>
        <sz val="9"/>
        <color theme="1"/>
        <rFont val="맑은 고딕"/>
        <family val="3"/>
        <charset val="129"/>
      </rPr>
      <t>완료된</t>
    </r>
    <r>
      <rPr>
        <sz val="9"/>
        <color theme="1"/>
        <rFont val="Calibri"/>
        <family val="2"/>
      </rPr>
      <t xml:space="preserve"> </t>
    </r>
    <r>
      <rPr>
        <sz val="9"/>
        <color theme="1"/>
        <rFont val="맑은 고딕"/>
        <family val="3"/>
        <charset val="129"/>
      </rPr>
      <t>날짜를</t>
    </r>
    <r>
      <rPr>
        <sz val="9"/>
        <color theme="1"/>
        <rFont val="Calibri"/>
        <family val="2"/>
      </rPr>
      <t xml:space="preserve"> </t>
    </r>
    <r>
      <rPr>
        <sz val="9"/>
        <color theme="1"/>
        <rFont val="맑은 고딕"/>
        <family val="3"/>
        <charset val="129"/>
      </rPr>
      <t>입력하여</t>
    </r>
    <r>
      <rPr>
        <sz val="9"/>
        <color theme="1"/>
        <rFont val="Calibri"/>
        <family val="2"/>
      </rPr>
      <t xml:space="preserve"> </t>
    </r>
    <r>
      <rPr>
        <sz val="9"/>
        <color theme="1"/>
        <rFont val="맑은 고딕"/>
        <family val="3"/>
        <charset val="129"/>
      </rPr>
      <t>일정이</t>
    </r>
    <r>
      <rPr>
        <sz val="9"/>
        <color theme="1"/>
        <rFont val="Calibri"/>
        <family val="2"/>
      </rPr>
      <t xml:space="preserve"> </t>
    </r>
    <r>
      <rPr>
        <sz val="9"/>
        <color theme="1"/>
        <rFont val="맑은 고딕"/>
        <family val="3"/>
        <charset val="129"/>
      </rPr>
      <t>지연되었거나</t>
    </r>
    <r>
      <rPr>
        <sz val="9"/>
        <color theme="1"/>
        <rFont val="Calibri"/>
        <family val="2"/>
      </rPr>
      <t xml:space="preserve"> </t>
    </r>
    <r>
      <rPr>
        <sz val="9"/>
        <color theme="1"/>
        <rFont val="맑은 고딕"/>
        <family val="3"/>
        <charset val="129"/>
      </rPr>
      <t>빨리</t>
    </r>
    <r>
      <rPr>
        <sz val="9"/>
        <color theme="1"/>
        <rFont val="Calibri"/>
        <family val="2"/>
      </rPr>
      <t xml:space="preserve"> </t>
    </r>
    <r>
      <rPr>
        <sz val="9"/>
        <color theme="1"/>
        <rFont val="맑은 고딕"/>
        <family val="3"/>
        <charset val="129"/>
      </rPr>
      <t>진행된</t>
    </r>
    <r>
      <rPr>
        <sz val="9"/>
        <color theme="1"/>
        <rFont val="Calibri"/>
        <family val="2"/>
      </rPr>
      <t xml:space="preserve"> </t>
    </r>
    <r>
      <rPr>
        <sz val="9"/>
        <color theme="1"/>
        <rFont val="맑은 고딕"/>
        <family val="3"/>
        <charset val="129"/>
      </rPr>
      <t>것을</t>
    </r>
    <r>
      <rPr>
        <sz val="9"/>
        <color theme="1"/>
        <rFont val="Calibri"/>
        <family val="2"/>
      </rPr>
      <t xml:space="preserve"> </t>
    </r>
    <r>
      <rPr>
        <sz val="9"/>
        <color theme="1"/>
        <rFont val="맑은 고딕"/>
        <family val="3"/>
        <charset val="129"/>
      </rPr>
      <t>관리할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있습니다</t>
    </r>
    <r>
      <rPr>
        <sz val="9"/>
        <color theme="1"/>
        <rFont val="Calibri"/>
        <family val="2"/>
      </rPr>
      <t xml:space="preserve">.  </t>
    </r>
  </si>
  <si>
    <r>
      <rPr>
        <sz val="9"/>
        <color theme="1"/>
        <rFont val="맑은 고딕"/>
        <family val="3"/>
        <charset val="129"/>
      </rPr>
      <t>필드명이</t>
    </r>
    <r>
      <rPr>
        <sz val="9"/>
        <color theme="1"/>
        <rFont val="Calibri"/>
        <family val="2"/>
      </rPr>
      <t xml:space="preserve"> </t>
    </r>
    <r>
      <rPr>
        <sz val="9"/>
        <color theme="1"/>
        <rFont val="맑은 고딕"/>
        <family val="3"/>
        <charset val="129"/>
      </rPr>
      <t>비어있는</t>
    </r>
    <r>
      <rPr>
        <sz val="9"/>
        <color theme="1"/>
        <rFont val="Calibri"/>
        <family val="2"/>
      </rPr>
      <t xml:space="preserve"> </t>
    </r>
    <r>
      <rPr>
        <sz val="9"/>
        <color theme="1"/>
        <rFont val="맑은 고딕"/>
        <family val="3"/>
        <charset val="129"/>
      </rPr>
      <t>항목은</t>
    </r>
    <r>
      <rPr>
        <sz val="9"/>
        <color theme="1"/>
        <rFont val="Calibri"/>
        <family val="2"/>
      </rPr>
      <t xml:space="preserve"> </t>
    </r>
    <r>
      <rPr>
        <sz val="9"/>
        <color theme="1"/>
        <rFont val="맑은 고딕"/>
        <family val="3"/>
        <charset val="129"/>
      </rPr>
      <t>선택할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</si>
  <si>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엑셀매크로</t>
    </r>
    <r>
      <rPr>
        <sz val="9"/>
        <color theme="1"/>
        <rFont val="Calibri"/>
        <family val="2"/>
      </rPr>
      <t xml:space="preserve"> </t>
    </r>
    <r>
      <rPr>
        <sz val="9"/>
        <color theme="1"/>
        <rFont val="맑은 고딕"/>
        <family val="3"/>
        <charset val="129"/>
      </rPr>
      <t>파일은</t>
    </r>
    <r>
      <rPr>
        <sz val="9"/>
        <color theme="1"/>
        <rFont val="Calibri"/>
        <family val="2"/>
      </rPr>
      <t xml:space="preserve"> </t>
    </r>
    <r>
      <rPr>
        <sz val="9"/>
        <color theme="1"/>
        <rFont val="맑은 고딕"/>
        <family val="3"/>
        <charset val="129"/>
      </rPr>
      <t>가져오기를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 xml:space="preserve">. xls </t>
    </r>
    <r>
      <rPr>
        <sz val="9"/>
        <color theme="1"/>
        <rFont val="맑은 고딕"/>
        <family val="3"/>
        <charset val="129"/>
      </rPr>
      <t>또는</t>
    </r>
    <r>
      <rPr>
        <sz val="9"/>
        <color theme="1"/>
        <rFont val="Calibri"/>
        <family val="2"/>
      </rPr>
      <t xml:space="preserve"> xlsx</t>
    </r>
    <r>
      <rPr>
        <sz val="9"/>
        <color theme="1"/>
        <rFont val="맑은 고딕"/>
        <family val="3"/>
        <charset val="129"/>
      </rPr>
      <t>파일로</t>
    </r>
    <r>
      <rPr>
        <sz val="9"/>
        <color theme="1"/>
        <rFont val="Calibri"/>
        <family val="2"/>
      </rPr>
      <t xml:space="preserve"> </t>
    </r>
    <r>
      <rPr>
        <sz val="9"/>
        <color theme="1"/>
        <rFont val="맑은 고딕"/>
        <family val="3"/>
        <charset val="129"/>
      </rPr>
      <t>저장하여</t>
    </r>
    <r>
      <rPr>
        <sz val="9"/>
        <color theme="1"/>
        <rFont val="Calibri"/>
        <family val="2"/>
      </rPr>
      <t xml:space="preserve"> </t>
    </r>
    <r>
      <rPr>
        <sz val="9"/>
        <color theme="1"/>
        <rFont val="맑은 고딕"/>
        <family val="3"/>
        <charset val="129"/>
      </rPr>
      <t>작업하시기</t>
    </r>
    <r>
      <rPr>
        <sz val="9"/>
        <color theme="1"/>
        <rFont val="Calibri"/>
        <family val="2"/>
      </rPr>
      <t xml:space="preserve"> </t>
    </r>
    <r>
      <rPr>
        <sz val="9"/>
        <color theme="1"/>
        <rFont val="맑은 고딕"/>
        <family val="3"/>
        <charset val="129"/>
      </rPr>
      <t>바랍니다</t>
    </r>
    <r>
      <rPr>
        <sz val="9"/>
        <color theme="1"/>
        <rFont val="Calibri"/>
        <family val="2"/>
      </rPr>
      <t xml:space="preserve">. </t>
    </r>
    <r>
      <rPr>
        <sz val="9"/>
        <color theme="1"/>
        <rFont val="맑은 고딕"/>
        <family val="3"/>
        <charset val="129"/>
      </rPr>
      <t>만약</t>
    </r>
    <r>
      <rPr>
        <sz val="9"/>
        <color theme="1"/>
        <rFont val="Calibri"/>
        <family val="2"/>
      </rPr>
      <t xml:space="preserve"> XLGantt</t>
    </r>
    <r>
      <rPr>
        <sz val="9"/>
        <color theme="1"/>
        <rFont val="맑은 고딕"/>
        <family val="3"/>
        <charset val="129"/>
      </rPr>
      <t>파일인</t>
    </r>
    <r>
      <rPr>
        <sz val="9"/>
        <color theme="1"/>
        <rFont val="Calibri"/>
        <family val="2"/>
      </rPr>
      <t xml:space="preserve"> </t>
    </r>
    <r>
      <rPr>
        <sz val="9"/>
        <color theme="1"/>
        <rFont val="맑은 고딕"/>
        <family val="3"/>
        <charset val="129"/>
      </rPr>
      <t>경우에는</t>
    </r>
    <r>
      <rPr>
        <sz val="9"/>
        <color theme="1"/>
        <rFont val="Calibri"/>
        <family val="2"/>
      </rPr>
      <t xml:space="preserve"> "XLGantt</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파일</t>
    </r>
    <r>
      <rPr>
        <sz val="9"/>
        <color theme="1"/>
        <rFont val="Calibri"/>
        <family val="2"/>
      </rPr>
      <t xml:space="preserve"> </t>
    </r>
    <r>
      <rPr>
        <sz val="9"/>
        <color theme="1"/>
        <rFont val="맑은 고딕"/>
        <family val="3"/>
        <charset val="129"/>
      </rPr>
      <t>가져오기</t>
    </r>
    <r>
      <rPr>
        <sz val="9"/>
        <color theme="1"/>
        <rFont val="Calibri"/>
        <family val="2"/>
      </rPr>
      <t>"</t>
    </r>
    <r>
      <rPr>
        <sz val="9"/>
        <color theme="1"/>
        <rFont val="맑은 고딕"/>
        <family val="3"/>
        <charset val="129"/>
      </rPr>
      <t>에서</t>
    </r>
    <r>
      <rPr>
        <sz val="9"/>
        <color theme="1"/>
        <rFont val="Calibri"/>
        <family val="2"/>
      </rPr>
      <t xml:space="preserve"> </t>
    </r>
    <r>
      <rPr>
        <sz val="9"/>
        <color theme="1"/>
        <rFont val="맑은 고딕"/>
        <family val="3"/>
        <charset val="129"/>
      </rPr>
      <t>작업</t>
    </r>
    <r>
      <rPr>
        <sz val="9"/>
        <color theme="1"/>
        <rFont val="Calibri"/>
        <family val="2"/>
      </rPr>
      <t xml:space="preserve"> </t>
    </r>
    <r>
      <rPr>
        <sz val="9"/>
        <color theme="1"/>
        <rFont val="맑은 고딕"/>
        <family val="3"/>
        <charset val="129"/>
      </rPr>
      <t>가능합니다</t>
    </r>
  </si>
  <si>
    <r>
      <rPr>
        <sz val="9"/>
        <color theme="1"/>
        <rFont val="맑은 고딕"/>
        <family val="3"/>
        <charset val="129"/>
      </rPr>
      <t>기본언어인</t>
    </r>
    <r>
      <rPr>
        <sz val="9"/>
        <color theme="1"/>
        <rFont val="Calibri"/>
        <family val="2"/>
      </rPr>
      <t xml:space="preserve"> English</t>
    </r>
    <r>
      <rPr>
        <sz val="9"/>
        <color theme="1"/>
        <rFont val="맑은 고딕"/>
        <family val="3"/>
        <charset val="129"/>
      </rPr>
      <t>와</t>
    </r>
    <r>
      <rPr>
        <sz val="9"/>
        <color theme="1"/>
        <rFont val="Calibri"/>
        <family val="2"/>
      </rPr>
      <t xml:space="preserve"> Korean</t>
    </r>
    <r>
      <rPr>
        <sz val="9"/>
        <color theme="1"/>
        <rFont val="맑은 고딕"/>
        <family val="3"/>
        <charset val="129"/>
      </rPr>
      <t>은</t>
    </r>
    <r>
      <rPr>
        <sz val="9"/>
        <color theme="1"/>
        <rFont val="Calibri"/>
        <family val="2"/>
      </rPr>
      <t xml:space="preserve"> </t>
    </r>
    <r>
      <rPr>
        <sz val="9"/>
        <color theme="1"/>
        <rFont val="맑은 고딕"/>
        <family val="3"/>
        <charset val="129"/>
      </rPr>
      <t>삭제할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없습니다</t>
    </r>
    <r>
      <rPr>
        <sz val="9"/>
        <color theme="1"/>
        <rFont val="Calibri"/>
        <family val="2"/>
      </rPr>
      <t>.</t>
    </r>
  </si>
  <si>
    <r>
      <rPr>
        <sz val="9"/>
        <color theme="1"/>
        <rFont val="맑은 고딕"/>
        <family val="3"/>
        <charset val="129"/>
      </rPr>
      <t>언어가</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</si>
  <si>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Source</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</si>
  <si>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Target</t>
    </r>
    <r>
      <rPr>
        <sz val="9"/>
        <color theme="1"/>
        <rFont val="맑은 고딕"/>
        <family val="3"/>
        <charset val="129"/>
      </rPr>
      <t>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</si>
  <si>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t>Mapping</t>
    </r>
    <r>
      <rPr>
        <sz val="9"/>
        <color theme="1"/>
        <rFont val="맑은 고딕"/>
        <family val="3"/>
        <charset val="129"/>
      </rPr>
      <t>취소항목이</t>
    </r>
    <r>
      <rPr>
        <sz val="9"/>
        <color theme="1"/>
        <rFont val="Calibri"/>
        <family val="2"/>
      </rPr>
      <t xml:space="preserve"> </t>
    </r>
    <r>
      <rPr>
        <sz val="9"/>
        <color theme="1"/>
        <rFont val="맑은 고딕"/>
        <family val="3"/>
        <charset val="129"/>
      </rPr>
      <t>선택되지</t>
    </r>
    <r>
      <rPr>
        <sz val="9"/>
        <color theme="1"/>
        <rFont val="Calibri"/>
        <family val="2"/>
      </rPr>
      <t xml:space="preserve"> </t>
    </r>
    <r>
      <rPr>
        <sz val="9"/>
        <color theme="1"/>
        <rFont val="맑은 고딕"/>
        <family val="3"/>
        <charset val="129"/>
      </rPr>
      <t>않았습니다</t>
    </r>
    <r>
      <rPr>
        <sz val="9"/>
        <color theme="1"/>
        <rFont val="Calibri"/>
        <family val="2"/>
      </rPr>
      <t>.</t>
    </r>
  </si>
  <si>
    <r>
      <rPr>
        <sz val="9"/>
        <color theme="1"/>
        <rFont val="맑은 고딕"/>
        <family val="3"/>
        <charset val="129"/>
      </rPr>
      <t>한곳만</t>
    </r>
    <r>
      <rPr>
        <sz val="9"/>
        <color theme="1"/>
        <rFont val="Calibri"/>
        <family val="2"/>
      </rPr>
      <t xml:space="preserve"> </t>
    </r>
    <r>
      <rPr>
        <sz val="9"/>
        <color theme="1"/>
        <rFont val="맑은 고딕"/>
        <family val="3"/>
        <charset val="129"/>
      </rPr>
      <t>선택하세요</t>
    </r>
    <r>
      <rPr>
        <sz val="9"/>
        <color theme="1"/>
        <rFont val="Calibri"/>
        <family val="2"/>
      </rPr>
      <t xml:space="preserve">. </t>
    </r>
    <r>
      <rPr>
        <sz val="9"/>
        <color theme="1"/>
        <rFont val="맑은 고딕"/>
        <family val="3"/>
        <charset val="129"/>
      </rPr>
      <t>현재</t>
    </r>
    <r>
      <rPr>
        <sz val="9"/>
        <color theme="1"/>
        <rFont val="Calibri"/>
        <family val="2"/>
      </rPr>
      <t xml:space="preserve"> {}</t>
    </r>
    <r>
      <rPr>
        <sz val="9"/>
        <color theme="1"/>
        <rFont val="맑은 고딕"/>
        <family val="3"/>
        <charset val="129"/>
      </rPr>
      <t>곳이</t>
    </r>
    <r>
      <rPr>
        <sz val="9"/>
        <color theme="1"/>
        <rFont val="Calibri"/>
        <family val="2"/>
      </rPr>
      <t xml:space="preserve"> </t>
    </r>
    <r>
      <rPr>
        <sz val="9"/>
        <color theme="1"/>
        <rFont val="맑은 고딕"/>
        <family val="3"/>
        <charset val="129"/>
      </rPr>
      <t>선택되었습니다</t>
    </r>
    <r>
      <rPr>
        <sz val="9"/>
        <color theme="1"/>
        <rFont val="Calibri"/>
        <family val="2"/>
      </rPr>
      <t>.</t>
    </r>
  </si>
  <si>
    <r>
      <rPr>
        <sz val="9"/>
        <color theme="1"/>
        <rFont val="맑은 고딕"/>
        <family val="3"/>
        <charset val="129"/>
      </rPr>
      <t>날짜</t>
    </r>
    <phoneticPr fontId="1" type="noConversion"/>
  </si>
  <si>
    <r>
      <rPr>
        <sz val="9"/>
        <color theme="1"/>
        <rFont val="맑은 고딕"/>
        <family val="3"/>
        <charset val="129"/>
      </rPr>
      <t>요일</t>
    </r>
    <phoneticPr fontId="1" type="noConversion"/>
  </si>
  <si>
    <r>
      <rPr>
        <sz val="9"/>
        <color theme="1"/>
        <rFont val="맑은 고딕"/>
        <family val="3"/>
        <charset val="129"/>
      </rPr>
      <t>간트차트</t>
    </r>
    <r>
      <rPr>
        <sz val="9"/>
        <color theme="1"/>
        <rFont val="Calibri"/>
        <family val="2"/>
      </rPr>
      <t xml:space="preserve"> </t>
    </r>
    <r>
      <rPr>
        <sz val="9"/>
        <color theme="1"/>
        <rFont val="맑은 고딕"/>
        <family val="3"/>
        <charset val="129"/>
      </rPr>
      <t>눈금에</t>
    </r>
    <r>
      <rPr>
        <sz val="9"/>
        <color theme="1"/>
        <rFont val="Calibri"/>
        <family val="2"/>
      </rPr>
      <t xml:space="preserve"> </t>
    </r>
    <r>
      <rPr>
        <sz val="9"/>
        <color theme="1"/>
        <rFont val="맑은 고딕"/>
        <family val="3"/>
        <charset val="129"/>
      </rPr>
      <t>날짜</t>
    </r>
    <r>
      <rPr>
        <sz val="9"/>
        <color theme="1"/>
        <rFont val="Calibri"/>
        <family val="2"/>
      </rPr>
      <t>/</t>
    </r>
    <r>
      <rPr>
        <sz val="9"/>
        <color theme="1"/>
        <rFont val="맑은 고딕"/>
        <family val="3"/>
        <charset val="129"/>
      </rPr>
      <t>요일</t>
    </r>
    <r>
      <rPr>
        <sz val="9"/>
        <color theme="1"/>
        <rFont val="Calibri"/>
        <family val="2"/>
      </rPr>
      <t xml:space="preserve"> </t>
    </r>
    <r>
      <rPr>
        <sz val="9"/>
        <color theme="1"/>
        <rFont val="맑은 고딕"/>
        <family val="3"/>
        <charset val="129"/>
      </rPr>
      <t>표시방법</t>
    </r>
    <phoneticPr fontId="1" type="noConversion"/>
  </si>
  <si>
    <r>
      <t>WBS</t>
    </r>
    <r>
      <rPr>
        <sz val="9"/>
        <color theme="1"/>
        <rFont val="맑은 고딕"/>
        <family val="3"/>
        <charset val="129"/>
      </rPr>
      <t>열</t>
    </r>
    <r>
      <rPr>
        <sz val="9"/>
        <color theme="1"/>
        <rFont val="Calibri"/>
        <family val="2"/>
      </rPr>
      <t xml:space="preserve"> </t>
    </r>
    <r>
      <rPr>
        <sz val="9"/>
        <color theme="1"/>
        <rFont val="맑은 고딕"/>
        <family val="3"/>
        <charset val="129"/>
      </rPr>
      <t>정렬</t>
    </r>
    <phoneticPr fontId="1" type="noConversion"/>
  </si>
  <si>
    <r>
      <rPr>
        <sz val="9"/>
        <color theme="1"/>
        <rFont val="맑은 고딕"/>
        <family val="3"/>
        <charset val="129"/>
      </rPr>
      <t>왼쪽</t>
    </r>
    <phoneticPr fontId="1" type="noConversion"/>
  </si>
  <si>
    <r>
      <rPr>
        <sz val="9"/>
        <color theme="1"/>
        <rFont val="맑은 고딕"/>
        <family val="3"/>
        <charset val="129"/>
      </rPr>
      <t>가운데</t>
    </r>
    <phoneticPr fontId="1" type="noConversion"/>
  </si>
  <si>
    <r>
      <rPr>
        <sz val="9"/>
        <color theme="1"/>
        <rFont val="맑은 고딕"/>
        <family val="3"/>
        <charset val="129"/>
      </rPr>
      <t>오른쪽</t>
    </r>
    <phoneticPr fontId="1" type="noConversion"/>
  </si>
  <si>
    <r>
      <rPr>
        <sz val="9"/>
        <color theme="1"/>
        <rFont val="맑은 고딕"/>
        <family val="3"/>
        <charset val="129"/>
      </rPr>
      <t>동일한</t>
    </r>
    <r>
      <rPr>
        <sz val="9"/>
        <color theme="1"/>
        <rFont val="Calibri"/>
        <family val="2"/>
      </rPr>
      <t xml:space="preserve"> </t>
    </r>
    <r>
      <rPr>
        <sz val="9"/>
        <color theme="1"/>
        <rFont val="맑은 고딕"/>
        <family val="3"/>
        <charset val="129"/>
      </rPr>
      <t>필드명이</t>
    </r>
    <r>
      <rPr>
        <sz val="9"/>
        <color theme="1"/>
        <rFont val="Calibri"/>
        <family val="2"/>
      </rPr>
      <t xml:space="preserve"> </t>
    </r>
    <r>
      <rPr>
        <sz val="9"/>
        <color theme="1"/>
        <rFont val="맑은 고딕"/>
        <family val="3"/>
        <charset val="129"/>
      </rPr>
      <t>존재합니다</t>
    </r>
    <r>
      <rPr>
        <sz val="9"/>
        <color theme="1"/>
        <rFont val="Calibri"/>
        <family val="2"/>
      </rPr>
      <t>.</t>
    </r>
    <phoneticPr fontId="1" type="noConversion"/>
  </si>
  <si>
    <r>
      <rPr>
        <sz val="9"/>
        <color theme="1"/>
        <rFont val="맑은 고딕"/>
        <family val="3"/>
        <charset val="129"/>
      </rPr>
      <t>수식셀</t>
    </r>
    <r>
      <rPr>
        <sz val="9"/>
        <color theme="1"/>
        <rFont val="Calibri"/>
        <family val="2"/>
      </rPr>
      <t xml:space="preserve"> </t>
    </r>
    <r>
      <rPr>
        <sz val="9"/>
        <color theme="1"/>
        <rFont val="맑은 고딕"/>
        <family val="3"/>
        <charset val="129"/>
      </rPr>
      <t>선택</t>
    </r>
    <phoneticPr fontId="1" type="noConversion"/>
  </si>
  <si>
    <r>
      <rPr>
        <sz val="9"/>
        <color theme="1"/>
        <rFont val="맑은 고딕"/>
        <family val="3"/>
        <charset val="129"/>
      </rPr>
      <t>월</t>
    </r>
    <r>
      <rPr>
        <sz val="9"/>
        <color theme="1"/>
        <rFont val="Calibri"/>
        <family val="2"/>
      </rPr>
      <t xml:space="preserve"> </t>
    </r>
    <r>
      <rPr>
        <sz val="9"/>
        <color theme="1"/>
        <rFont val="맑은 고딕"/>
        <family val="3"/>
        <charset val="129"/>
      </rPr>
      <t>평균</t>
    </r>
    <r>
      <rPr>
        <sz val="9"/>
        <color theme="1"/>
        <rFont val="Calibri"/>
        <family val="2"/>
      </rPr>
      <t xml:space="preserve"> </t>
    </r>
    <r>
      <rPr>
        <sz val="9"/>
        <color theme="1"/>
        <rFont val="맑은 고딕"/>
        <family val="3"/>
        <charset val="129"/>
      </rPr>
      <t>근무일수</t>
    </r>
    <phoneticPr fontId="1" type="noConversion"/>
  </si>
  <si>
    <r>
      <rPr>
        <sz val="9"/>
        <color theme="1"/>
        <rFont val="맑은 고딕"/>
        <family val="3"/>
        <charset val="129"/>
      </rPr>
      <t>프린트</t>
    </r>
    <r>
      <rPr>
        <sz val="9"/>
        <color theme="1"/>
        <rFont val="Calibri"/>
        <family val="2"/>
      </rPr>
      <t xml:space="preserve"> </t>
    </r>
    <r>
      <rPr>
        <sz val="9"/>
        <color theme="1"/>
        <rFont val="맑은 고딕"/>
        <family val="3"/>
        <charset val="129"/>
      </rPr>
      <t>영역</t>
    </r>
    <r>
      <rPr>
        <sz val="9"/>
        <color theme="1"/>
        <rFont val="Calibri"/>
        <family val="2"/>
      </rPr>
      <t xml:space="preserve"> </t>
    </r>
    <r>
      <rPr>
        <sz val="9"/>
        <color theme="1"/>
        <rFont val="맑은 고딕"/>
        <family val="3"/>
        <charset val="129"/>
      </rPr>
      <t>여유</t>
    </r>
    <r>
      <rPr>
        <sz val="9"/>
        <color theme="1"/>
        <rFont val="Calibri"/>
        <family val="2"/>
      </rPr>
      <t xml:space="preserve"> </t>
    </r>
    <r>
      <rPr>
        <sz val="9"/>
        <color theme="1"/>
        <rFont val="맑은 고딕"/>
        <family val="3"/>
        <charset val="129"/>
      </rPr>
      <t>공간</t>
    </r>
    <phoneticPr fontId="1" type="noConversion"/>
  </si>
  <si>
    <r>
      <t xml:space="preserve">Schedule </t>
    </r>
    <r>
      <rPr>
        <sz val="9"/>
        <color theme="1"/>
        <rFont val="맑은 고딕"/>
        <family val="3"/>
        <charset val="129"/>
      </rPr>
      <t>시트</t>
    </r>
    <r>
      <rPr>
        <sz val="9"/>
        <color theme="1"/>
        <rFont val="Calibri"/>
        <family val="2"/>
      </rPr>
      <t xml:space="preserve"> 1-4</t>
    </r>
    <r>
      <rPr>
        <sz val="9"/>
        <color theme="1"/>
        <rFont val="맑은 고딕"/>
        <family val="3"/>
        <charset val="129"/>
      </rPr>
      <t>행의</t>
    </r>
    <r>
      <rPr>
        <sz val="9"/>
        <color theme="1"/>
        <rFont val="Calibri"/>
        <family val="2"/>
      </rPr>
      <t xml:space="preserve"> </t>
    </r>
    <r>
      <rPr>
        <sz val="9"/>
        <color theme="1"/>
        <rFont val="맑은 고딕"/>
        <family val="3"/>
        <charset val="129"/>
      </rPr>
      <t>높이를</t>
    </r>
    <r>
      <rPr>
        <sz val="9"/>
        <color theme="1"/>
        <rFont val="Calibri"/>
        <family val="2"/>
      </rPr>
      <t xml:space="preserve"> </t>
    </r>
    <r>
      <rPr>
        <sz val="9"/>
        <color theme="1"/>
        <rFont val="맑은 고딕"/>
        <family val="3"/>
        <charset val="129"/>
      </rPr>
      <t>자동으로</t>
    </r>
    <r>
      <rPr>
        <sz val="9"/>
        <color theme="1"/>
        <rFont val="Calibri"/>
        <family val="2"/>
      </rPr>
      <t xml:space="preserve"> </t>
    </r>
    <r>
      <rPr>
        <sz val="9"/>
        <color theme="1"/>
        <rFont val="맑은 고딕"/>
        <family val="3"/>
        <charset val="129"/>
      </rPr>
      <t>조정</t>
    </r>
  </si>
  <si>
    <r>
      <rPr>
        <sz val="9"/>
        <color theme="1"/>
        <rFont val="맑은 고딕"/>
        <family val="3"/>
        <charset val="129"/>
      </rPr>
      <t>오류가</t>
    </r>
    <r>
      <rPr>
        <sz val="9"/>
        <color theme="1"/>
        <rFont val="Calibri"/>
        <family val="2"/>
      </rPr>
      <t xml:space="preserve"> </t>
    </r>
    <r>
      <rPr>
        <sz val="9"/>
        <color theme="1"/>
        <rFont val="맑은 고딕"/>
        <family val="3"/>
        <charset val="129"/>
      </rPr>
      <t>발생했습니다</t>
    </r>
    <r>
      <rPr>
        <sz val="9"/>
        <color theme="1"/>
        <rFont val="Calibri"/>
        <family val="2"/>
      </rPr>
      <t>.</t>
    </r>
    <phoneticPr fontId="1" type="noConversion"/>
  </si>
  <si>
    <t>Setting WBS Area and Color Theme</t>
  </si>
  <si>
    <r>
      <t>WBS</t>
    </r>
    <r>
      <rPr>
        <sz val="9"/>
        <color theme="1"/>
        <rFont val="맑은 고딕"/>
        <family val="2"/>
        <charset val="129"/>
      </rPr>
      <t>영역</t>
    </r>
    <r>
      <rPr>
        <sz val="9"/>
        <color theme="1"/>
        <rFont val="Calibri"/>
        <family val="2"/>
      </rPr>
      <t xml:space="preserve">, </t>
    </r>
    <r>
      <rPr>
        <sz val="9"/>
        <color theme="1"/>
        <rFont val="맑은 고딕"/>
        <family val="2"/>
        <charset val="129"/>
      </rPr>
      <t>컬러테마</t>
    </r>
    <r>
      <rPr>
        <sz val="9"/>
        <color theme="1"/>
        <rFont val="Calibri"/>
        <family val="2"/>
      </rPr>
      <t xml:space="preserve"> </t>
    </r>
    <r>
      <rPr>
        <sz val="9"/>
        <color theme="1"/>
        <rFont val="맑은 고딕"/>
        <family val="2"/>
        <charset val="129"/>
      </rPr>
      <t>설정</t>
    </r>
    <phoneticPr fontId="1" type="noConversion"/>
  </si>
  <si>
    <t>You can select the workload calculation method.</t>
    <phoneticPr fontId="1" type="noConversion"/>
  </si>
  <si>
    <t>You can set the appearance and color of the XLGantt.</t>
    <phoneticPr fontId="1" type="noConversion"/>
  </si>
  <si>
    <t>작업량 계산 방식을 선택할 수 있다.</t>
    <phoneticPr fontId="1" type="noConversion"/>
  </si>
  <si>
    <t>엑셀간트의 모양과 색상을 지정할 수 있다.</t>
    <phoneticPr fontId="1" type="noConversion"/>
  </si>
  <si>
    <r>
      <rPr>
        <sz val="9"/>
        <color theme="1"/>
        <rFont val="맑은 고딕"/>
        <family val="3"/>
        <charset val="129"/>
      </rPr>
      <t>엑셀간트</t>
    </r>
    <r>
      <rPr>
        <sz val="9"/>
        <color theme="1"/>
        <rFont val="Calibri"/>
        <family val="2"/>
      </rPr>
      <t>(XLGantt)</t>
    </r>
    <r>
      <rPr>
        <sz val="9"/>
        <color theme="1"/>
        <rFont val="맑은 고딕"/>
        <family val="3"/>
        <charset val="129"/>
      </rPr>
      <t>는</t>
    </r>
    <r>
      <rPr>
        <sz val="9"/>
        <color theme="1"/>
        <rFont val="Calibri"/>
        <family val="2"/>
      </rPr>
      <t xml:space="preserve"> </t>
    </r>
    <r>
      <rPr>
        <sz val="9"/>
        <color theme="1"/>
        <rFont val="맑은 고딕"/>
        <family val="3"/>
        <charset val="129"/>
      </rPr>
      <t>마이크로소프트</t>
    </r>
    <r>
      <rPr>
        <sz val="9"/>
        <color theme="1"/>
        <rFont val="Calibri"/>
        <family val="2"/>
      </rPr>
      <t xml:space="preserve"> </t>
    </r>
    <r>
      <rPr>
        <sz val="9"/>
        <color theme="1"/>
        <rFont val="맑은 고딕"/>
        <family val="3"/>
        <charset val="129"/>
      </rPr>
      <t>엑셀에서</t>
    </r>
    <r>
      <rPr>
        <sz val="9"/>
        <color theme="1"/>
        <rFont val="Calibri"/>
        <family val="2"/>
      </rPr>
      <t xml:space="preserve"> </t>
    </r>
    <r>
      <rPr>
        <sz val="9"/>
        <color theme="1"/>
        <rFont val="맑은 고딕"/>
        <family val="3"/>
        <charset val="129"/>
      </rPr>
      <t>프로젝트</t>
    </r>
    <r>
      <rPr>
        <sz val="9"/>
        <color theme="1"/>
        <rFont val="Calibri"/>
        <family val="2"/>
      </rPr>
      <t xml:space="preserve"> </t>
    </r>
    <r>
      <rPr>
        <sz val="9"/>
        <color theme="1"/>
        <rFont val="맑은 고딕"/>
        <family val="3"/>
        <charset val="129"/>
      </rPr>
      <t>일정관리를</t>
    </r>
    <r>
      <rPr>
        <sz val="9"/>
        <color theme="1"/>
        <rFont val="Calibri"/>
        <family val="2"/>
      </rPr>
      <t xml:space="preserve"> </t>
    </r>
    <r>
      <rPr>
        <sz val="9"/>
        <color theme="1"/>
        <rFont val="맑은 고딕"/>
        <family val="3"/>
        <charset val="129"/>
      </rPr>
      <t>할</t>
    </r>
    <r>
      <rPr>
        <sz val="9"/>
        <color theme="1"/>
        <rFont val="Calibri"/>
        <family val="2"/>
      </rPr>
      <t xml:space="preserve"> </t>
    </r>
    <r>
      <rPr>
        <sz val="9"/>
        <color theme="1"/>
        <rFont val="맑은 고딕"/>
        <family val="3"/>
        <charset val="129"/>
      </rPr>
      <t>수</t>
    </r>
    <r>
      <rPr>
        <sz val="9"/>
        <color theme="1"/>
        <rFont val="Calibri"/>
        <family val="2"/>
      </rPr>
      <t xml:space="preserve"> </t>
    </r>
    <r>
      <rPr>
        <sz val="9"/>
        <color theme="1"/>
        <rFont val="맑은 고딕"/>
        <family val="3"/>
        <charset val="129"/>
      </rPr>
      <t>있도록</t>
    </r>
    <r>
      <rPr>
        <sz val="9"/>
        <color theme="1"/>
        <rFont val="Calibri"/>
        <family val="2"/>
      </rPr>
      <t xml:space="preserve"> </t>
    </r>
    <r>
      <rPr>
        <sz val="9"/>
        <color theme="1"/>
        <rFont val="맑은 고딕"/>
        <family val="3"/>
        <charset val="129"/>
      </rPr>
      <t>만들어진</t>
    </r>
    <r>
      <rPr>
        <sz val="9"/>
        <color theme="1"/>
        <rFont val="Calibri"/>
        <family val="2"/>
      </rPr>
      <t xml:space="preserve"> </t>
    </r>
    <r>
      <rPr>
        <sz val="9"/>
        <color theme="1"/>
        <rFont val="맑은 고딕"/>
        <family val="3"/>
        <charset val="129"/>
      </rPr>
      <t>프로그램이며</t>
    </r>
    <r>
      <rPr>
        <sz val="9"/>
        <color theme="1"/>
        <rFont val="Calibri"/>
        <family val="2"/>
      </rPr>
      <t xml:space="preserve"> </t>
    </r>
    <r>
      <rPr>
        <sz val="9"/>
        <color theme="1"/>
        <rFont val="맑은 고딕"/>
        <family val="3"/>
        <charset val="129"/>
      </rPr>
      <t>아래와</t>
    </r>
    <r>
      <rPr>
        <sz val="9"/>
        <color theme="1"/>
        <rFont val="Calibri"/>
        <family val="2"/>
      </rPr>
      <t xml:space="preserve"> </t>
    </r>
    <r>
      <rPr>
        <sz val="9"/>
        <color theme="1"/>
        <rFont val="맑은 고딕"/>
        <family val="3"/>
        <charset val="129"/>
      </rPr>
      <t>같은</t>
    </r>
    <r>
      <rPr>
        <sz val="9"/>
        <color theme="1"/>
        <rFont val="Calibri"/>
        <family val="2"/>
      </rPr>
      <t xml:space="preserve"> </t>
    </r>
    <r>
      <rPr>
        <sz val="9"/>
        <color theme="1"/>
        <rFont val="맑은 고딕"/>
        <family val="3"/>
        <charset val="129"/>
      </rPr>
      <t>기능으로</t>
    </r>
    <r>
      <rPr>
        <sz val="9"/>
        <color theme="1"/>
        <rFont val="Calibri"/>
        <family val="2"/>
      </rPr>
      <t xml:space="preserve"> </t>
    </r>
    <r>
      <rPr>
        <sz val="9"/>
        <color theme="1"/>
        <rFont val="맑은 고딕"/>
        <family val="3"/>
        <charset val="129"/>
      </rPr>
      <t>구성되어</t>
    </r>
    <r>
      <rPr>
        <sz val="9"/>
        <color theme="1"/>
        <rFont val="Calibri"/>
        <family val="2"/>
      </rPr>
      <t xml:space="preserve"> </t>
    </r>
    <r>
      <rPr>
        <sz val="9"/>
        <color theme="1"/>
        <rFont val="맑은 고딕"/>
        <family val="3"/>
        <charset val="129"/>
      </rPr>
      <t>있습니다</t>
    </r>
    <r>
      <rPr>
        <sz val="9"/>
        <color theme="1"/>
        <rFont val="Calibri"/>
        <family val="2"/>
      </rPr>
      <t xml:space="preserve">. </t>
    </r>
    <r>
      <rPr>
        <sz val="9"/>
        <color theme="1"/>
        <rFont val="맑은 고딕"/>
        <family val="3"/>
        <charset val="129"/>
      </rPr>
      <t>엑셀</t>
    </r>
    <r>
      <rPr>
        <sz val="9"/>
        <color theme="1"/>
        <rFont val="Calibri"/>
        <family val="2"/>
      </rPr>
      <t xml:space="preserve"> VBA</t>
    </r>
    <r>
      <rPr>
        <sz val="9"/>
        <color theme="1"/>
        <rFont val="맑은 고딕"/>
        <family val="3"/>
        <charset val="129"/>
      </rPr>
      <t>로</t>
    </r>
    <r>
      <rPr>
        <sz val="9"/>
        <color theme="1"/>
        <rFont val="Calibri"/>
        <family val="2"/>
      </rPr>
      <t xml:space="preserve"> </t>
    </r>
    <r>
      <rPr>
        <sz val="9"/>
        <color theme="1"/>
        <rFont val="맑은 고딕"/>
        <family val="3"/>
        <charset val="129"/>
      </rPr>
      <t>작성된</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프로그램이므로</t>
    </r>
    <r>
      <rPr>
        <sz val="9"/>
        <color theme="1"/>
        <rFont val="Calibri"/>
        <family val="2"/>
      </rPr>
      <t xml:space="preserve"> </t>
    </r>
    <r>
      <rPr>
        <sz val="9"/>
        <color theme="1"/>
        <rFont val="맑은 고딕"/>
        <family val="3"/>
        <charset val="129"/>
      </rPr>
      <t>설치가</t>
    </r>
    <r>
      <rPr>
        <sz val="9"/>
        <color theme="1"/>
        <rFont val="Calibri"/>
        <family val="2"/>
      </rPr>
      <t xml:space="preserve"> </t>
    </r>
    <r>
      <rPr>
        <sz val="9"/>
        <color theme="1"/>
        <rFont val="맑은 고딕"/>
        <family val="3"/>
        <charset val="129"/>
      </rPr>
      <t>필요없고</t>
    </r>
    <r>
      <rPr>
        <sz val="9"/>
        <color theme="1"/>
        <rFont val="Calibri"/>
        <family val="2"/>
      </rPr>
      <t xml:space="preserve"> </t>
    </r>
    <r>
      <rPr>
        <sz val="9"/>
        <color theme="1"/>
        <rFont val="맑은 고딕"/>
        <family val="3"/>
        <charset val="129"/>
      </rPr>
      <t>매크로</t>
    </r>
    <r>
      <rPr>
        <sz val="9"/>
        <color theme="1"/>
        <rFont val="Calibri"/>
        <family val="2"/>
      </rPr>
      <t xml:space="preserve"> </t>
    </r>
    <r>
      <rPr>
        <sz val="9"/>
        <color theme="1"/>
        <rFont val="맑은 고딕"/>
        <family val="3"/>
        <charset val="129"/>
      </rPr>
      <t>파일만</t>
    </r>
    <r>
      <rPr>
        <sz val="9"/>
        <color theme="1"/>
        <rFont val="Calibri"/>
        <family val="2"/>
      </rPr>
      <t xml:space="preserve"> </t>
    </r>
    <r>
      <rPr>
        <sz val="9"/>
        <color theme="1"/>
        <rFont val="맑은 고딕"/>
        <family val="3"/>
        <charset val="129"/>
      </rPr>
      <t>실행하면</t>
    </r>
    <r>
      <rPr>
        <sz val="9"/>
        <color theme="1"/>
        <rFont val="Calibri"/>
        <family val="2"/>
      </rPr>
      <t xml:space="preserve"> </t>
    </r>
    <r>
      <rPr>
        <sz val="9"/>
        <color theme="1"/>
        <rFont val="맑은 고딕"/>
        <family val="3"/>
        <charset val="129"/>
      </rPr>
      <t>됩니다</t>
    </r>
    <r>
      <rPr>
        <sz val="9"/>
        <color theme="1"/>
        <rFont val="Calibri"/>
        <family val="2"/>
      </rPr>
      <t>.</t>
    </r>
    <phoneticPr fontId="1" type="noConversion"/>
  </si>
  <si>
    <t>{"TASK_FIRST_COL":"5","START_ROW":"5","WBS_AREA_LAST_COL":"31"}</t>
    <phoneticPr fontId="1" type="noConversion"/>
  </si>
  <si>
    <t>SCHEDULE_SHEET_POSITION:3545151617181920212223242526272829303132</t>
    <phoneticPr fontId="1" type="noConversion"/>
  </si>
  <si>
    <t>https://xlworks.io/xlgantt-howto-14-workloads/</t>
    <phoneticPr fontId="1" type="noConversion"/>
  </si>
  <si>
    <t>https://xlworks.io/xlgantt-howto-15-color-theme/</t>
    <phoneticPr fontId="1" type="noConversion"/>
  </si>
  <si>
    <t>https://xlworks.net/xlgantt-howto-14-workloads/</t>
    <phoneticPr fontId="1" type="noConversion"/>
  </si>
  <si>
    <t>https://xlworks.net/xlgantt-howto-15-color-theme/</t>
    <phoneticPr fontId="1" type="noConversion"/>
  </si>
  <si>
    <t>G</t>
  </si>
  <si>
    <t>OG</t>
  </si>
  <si>
    <t>XLGanttFileCalcMode</t>
  </si>
  <si>
    <t>Total</t>
  </si>
  <si>
    <t>ABC 프로젝트</t>
    <phoneticPr fontId="1" type="noConversion"/>
  </si>
  <si>
    <t>pdf</t>
    <phoneticPr fontId="1" type="noConversion"/>
  </si>
  <si>
    <t>C:\Program Files\Adobe\Acrobat DC\Acrobat\acrobat.exe</t>
    <phoneticPr fontId="1" type="noConversion"/>
  </si>
  <si>
    <t>Setting Task Dependencies</t>
    <phoneticPr fontId="1" type="noConversion"/>
  </si>
  <si>
    <t>작업 의존관계 설정</t>
    <phoneticPr fontId="1" type="noConversion"/>
  </si>
  <si>
    <t>You can set the Task Dependencies(FS,SS,FF,SF).</t>
    <phoneticPr fontId="1" type="noConversion"/>
  </si>
  <si>
    <t>https://xlworks.io/xlgantt-howto-16-task-dependencies/</t>
    <phoneticPr fontId="1" type="noConversion"/>
  </si>
  <si>
    <t>https://xlworks.net/xlgantt-howto-16-task-dependencies/</t>
    <phoneticPr fontId="1" type="noConversion"/>
  </si>
  <si>
    <t>작업 의존관계(FS,SS,FF,SF)를 설정할 수 있다.</t>
    <phoneticPr fontId="1" type="noConversion"/>
  </si>
  <si>
    <t>파워포인트</t>
    <phoneticPr fontId="1" type="noConversion"/>
  </si>
  <si>
    <t>자동지정</t>
    <phoneticPr fontId="1" type="noConversion"/>
  </si>
  <si>
    <t>워드</t>
    <phoneticPr fontId="1" type="noConversion"/>
  </si>
  <si>
    <t>엑셀</t>
    <phoneticPr fontId="1" type="noConversion"/>
  </si>
  <si>
    <t>엑셀간트(XLGantt) - 엑셀 일정관리</t>
    <phoneticPr fontId="15"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</si>
  <si>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1" type="noConversion"/>
  </si>
  <si>
    <t>엑셀간트(XLGantt)는 마이크로소프트 엑셀에서 프로젝트 일정관리를 할 수 있도록 만들어진 프로그램이며 아래와 같은 기능으로 구성되어 있습니다. 엑셀 VBA로 작성된 매크로 프로그램이므로 설치가 필요없고 매크로 파일만 실행하면 됩니다.</t>
    <phoneticPr fontId="15" type="noConversion"/>
  </si>
  <si>
    <t>시트 구성</t>
    <phoneticPr fontId="15" type="noConversion"/>
  </si>
  <si>
    <t>작업과 일정을 입력하면 진척율이 계산되며 작업의 일정을 간트차트로 표시해 준다.</t>
    <phoneticPr fontId="1" type="noConversion"/>
  </si>
  <si>
    <t>작업량, 진척율 등을 볼 수 있다.</t>
    <phoneticPr fontId="1" type="noConversion"/>
  </si>
  <si>
    <t>담당별 진행율, Workload등 분석용 Report를 만들어서 보여준다.</t>
    <phoneticPr fontId="1" type="noConversion"/>
  </si>
  <si>
    <t>프로젝트의 휴무일을 설정한다.</t>
    <phoneticPr fontId="1" type="noConversion"/>
  </si>
  <si>
    <t>Workload data를 주별/월별로 만들어 준다. 피벗 등의 기능으로 사용자가 원하는대로 분석을 할 수 있다.</t>
    <phoneticPr fontId="1" type="noConversion"/>
  </si>
  <si>
    <t>(숨겨진 시트) 언어별 번역이 들어 있다.</t>
    <phoneticPr fontId="1" type="noConversion"/>
  </si>
  <si>
    <t>사용법</t>
    <phoneticPr fontId="15" type="noConversion"/>
  </si>
  <si>
    <t>간단 사용법</t>
    <phoneticPr fontId="1" type="noConversion"/>
  </si>
  <si>
    <t>간트차트 표시방법 설정</t>
    <phoneticPr fontId="1" type="noConversion"/>
  </si>
  <si>
    <t>프로젝트 전체 진행상황 파악하기</t>
    <phoneticPr fontId="1" type="noConversion"/>
  </si>
  <si>
    <t>분석 리포트</t>
    <phoneticPr fontId="1" type="noConversion"/>
  </si>
  <si>
    <t>일정계획 변경관리</t>
    <phoneticPr fontId="1" type="noConversion"/>
  </si>
  <si>
    <t>산출물</t>
    <phoneticPr fontId="1" type="noConversion"/>
  </si>
  <si>
    <t>Microsoft Outlook작업, 일정등록</t>
    <phoneticPr fontId="1" type="noConversion"/>
  </si>
  <si>
    <t>다국어 지원</t>
    <phoneticPr fontId="1" type="noConversion"/>
  </si>
  <si>
    <t>다른 파일에서 일정 가져오기</t>
    <phoneticPr fontId="1" type="noConversion"/>
  </si>
  <si>
    <t>Excel기능과 통합</t>
    <phoneticPr fontId="1" type="noConversion"/>
  </si>
  <si>
    <t>작업량 계산</t>
    <phoneticPr fontId="1" type="noConversion"/>
  </si>
  <si>
    <t>WBS영역, 컬러테마 설정</t>
    <phoneticPr fontId="1" type="noConversion"/>
  </si>
  <si>
    <t>기능을 간단히 빨리 익히고 싶으면 “간단 사용법”을 참고한다</t>
    <phoneticPr fontId="1" type="noConversion"/>
  </si>
  <si>
    <t>작업명, 시작일, 완료일, 진척율을 입력하면 휴무일, 가중치를 고려하여 자동으로 작업기간, 계획진척율, 실적진척율 등이 계산된다.</t>
    <phoneticPr fontId="1" type="noConversion"/>
  </si>
  <si>
    <t>Bar chart형태로 간트차트를 보여주며 여러 가지 표시방법을 옵션에서 설정할 수 있다.</t>
    <phoneticPr fontId="1" type="noConversion"/>
  </si>
  <si>
    <t>진척율을 이용하여 프로젝트 전체 진행상황을 파악할 수 있다.</t>
    <phoneticPr fontId="1" type="noConversion"/>
  </si>
  <si>
    <t>프로젝트의 현황을 파악할 수 있는 진행율, Workload 등의 분석 리포트와 분석용 Workload data를 제공한다.</t>
    <phoneticPr fontId="1"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</si>
  <si>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1"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</si>
  <si>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1" type="noConversion"/>
  </si>
  <si>
    <t>엑셀간트에서는 Schedule시트에 입력되어 있는 작업을 Microsoft Outlook에 작업이나 일정으로 등록할 수 있는 기능을 제공한다(단, PC에 Microsoft Outlook이 설치되어 있어야 한다).</t>
    <phoneticPr fontId="1" type="noConversion"/>
  </si>
  <si>
    <t>엑셀간트는 다국어를 지원하는데 프로그램을 수정하지 않고 여러 다국어를 추가할 수 있다. 현재는 한국어, 영어 2개 국어가 추가되어 있다.</t>
    <phoneticPr fontId="1" type="noConversion"/>
  </si>
  <si>
    <t>엑셀간트에서는 엑셀간트(XLGantt) 또는 일반 엑셀파일로 만들어진 일정을 가져오는 기능을 제공한다.</t>
    <phoneticPr fontId="1" type="noConversion"/>
  </si>
  <si>
    <t>한주의 시작요일 지정, 휴무일 설정, 주차표시 기능을 제공한다.
리본메뉴 &gt; XLGantt – Project Scheduler &gt; 옵션 &gt; “Calendar” 탭에서 설정할 수 있다.</t>
    <phoneticPr fontId="1"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</si>
  <si>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1" type="noConversion"/>
  </si>
  <si>
    <t>도움말</t>
    <phoneticPr fontId="1" type="noConversion"/>
  </si>
  <si>
    <t>XLGantt Version 5.0.0 사용조건</t>
    <phoneticPr fontId="1"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</si>
  <si>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1" type="noConversion"/>
  </si>
  <si>
    <t>프로젝트 진척율 - 일정변경 관리하지 않을때</t>
    <phoneticPr fontId="3" type="noConversion"/>
  </si>
  <si>
    <t>실적기성</t>
    <phoneticPr fontId="3" type="noConversion"/>
  </si>
  <si>
    <t>실적기성(총기간 x 총실적진행율)</t>
    <phoneticPr fontId="3" type="noConversion"/>
  </si>
  <si>
    <t>* 프로젝트 작업량과 진척율을 보여줍니다.</t>
    <phoneticPr fontId="3" type="noConversion"/>
  </si>
  <si>
    <t>* "스케줄업데이트" 버튼 클릭 시 아래 항목이 자동계산됩니다.</t>
    <phoneticPr fontId="3" type="noConversion"/>
  </si>
  <si>
    <t>프로젝트 전체 작업량</t>
    <phoneticPr fontId="3" type="noConversion"/>
  </si>
  <si>
    <t>프로젝트 전체의 작업량을 Man/Day로 표시한다. 가중치를 적용한 값이다.</t>
    <phoneticPr fontId="3" type="noConversion"/>
  </si>
  <si>
    <t>현재일까지 계획된 작업량</t>
    <phoneticPr fontId="3" type="noConversion"/>
  </si>
  <si>
    <t>해당작업의 시작일부터 현재일까지의 작업기간을 의미함(현재 날짜까지 진행되었어야 할 기간)</t>
    <phoneticPr fontId="3" type="noConversion"/>
  </si>
  <si>
    <t>실제 투입된 작업량</t>
    <phoneticPr fontId="3" type="noConversion"/>
  </si>
  <si>
    <t>일정변경 관리할 때 현재까지 실제로 투입된 작업기간을 표시함</t>
    <phoneticPr fontId="3" type="noConversion"/>
  </si>
  <si>
    <t>계획 진척율(A)</t>
    <phoneticPr fontId="3" type="noConversion"/>
  </si>
  <si>
    <t>현재날짜까지 계획된 진척율, WBS의 "계획진척율"의 전체 합계 진척율을 표시함</t>
    <phoneticPr fontId="3" type="noConversion"/>
  </si>
  <si>
    <t>실적 진척율(B)</t>
    <phoneticPr fontId="3" type="noConversion"/>
  </si>
  <si>
    <t>현재날짜까지 실제로 진행된 진척율, WBS의 "실적진척율"의 전체 합계 진척율을 표시함</t>
    <phoneticPr fontId="3" type="noConversion"/>
  </si>
  <si>
    <t>차이(B-A)</t>
    <phoneticPr fontId="3" type="noConversion"/>
  </si>
  <si>
    <t>양수이면 계획보다 빨리 진행, 음수이면 지연</t>
    <phoneticPr fontId="3" type="noConversion"/>
  </si>
  <si>
    <t>작업*</t>
    <phoneticPr fontId="3" type="noConversion"/>
  </si>
  <si>
    <t>비고</t>
    <phoneticPr fontId="3" type="noConversion"/>
  </si>
  <si>
    <t>시작일*</t>
    <phoneticPr fontId="3" type="noConversion"/>
  </si>
  <si>
    <t>완료일*</t>
    <phoneticPr fontId="3" type="noConversion"/>
  </si>
  <si>
    <t>총_x000D_
작업량</t>
    <phoneticPr fontId="3" type="noConversion"/>
  </si>
  <si>
    <t>계획_x000D_
작업량</t>
    <phoneticPr fontId="3" type="noConversion"/>
  </si>
  <si>
    <t>총_x000D_
기간</t>
    <phoneticPr fontId="3" type="noConversion"/>
  </si>
  <si>
    <t>계획_x000D_
기간</t>
    <phoneticPr fontId="3" type="noConversion"/>
  </si>
  <si>
    <t>실제_x000D_
시작일</t>
    <phoneticPr fontId="3" type="noConversion"/>
  </si>
  <si>
    <t>실제_x000D_
완료일</t>
    <phoneticPr fontId="3" type="noConversion"/>
  </si>
  <si>
    <t>실제_x000D_
총작업량</t>
    <phoneticPr fontId="3" type="noConversion"/>
  </si>
  <si>
    <t>실제_x000D_
총기간</t>
    <phoneticPr fontId="3" type="noConversion"/>
  </si>
  <si>
    <t>가중치</t>
    <phoneticPr fontId="3" type="noConversion"/>
  </si>
  <si>
    <t>담당</t>
    <phoneticPr fontId="3" type="noConversion"/>
  </si>
  <si>
    <t>산출물</t>
    <phoneticPr fontId="3" type="noConversion"/>
  </si>
  <si>
    <t>계획</t>
    <phoneticPr fontId="3" type="noConversion"/>
  </si>
  <si>
    <t>실적*</t>
    <phoneticPr fontId="3" type="noConversion"/>
  </si>
  <si>
    <t>시작일</t>
  </si>
  <si>
    <t>완료일</t>
  </si>
  <si>
    <t>(담당자미지정)</t>
  </si>
  <si>
    <t xml:space="preserve"> 프로젝트 휴무일 Calendar 설정</t>
    <phoneticPr fontId="3"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</si>
  <si>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3" type="noConversion"/>
  </si>
  <si>
    <t>표준캘린더</t>
    <phoneticPr fontId="3" type="noConversion"/>
  </si>
  <si>
    <t>사용자정의 캘린더1</t>
    <phoneticPr fontId="3" type="noConversion"/>
  </si>
  <si>
    <t>사용자정의 캘린더2</t>
    <phoneticPr fontId="3" type="noConversion"/>
  </si>
  <si>
    <t>휴무일명</t>
    <phoneticPr fontId="3" type="noConversion"/>
  </si>
  <si>
    <t>휴무일자</t>
    <phoneticPr fontId="3" type="noConversion"/>
  </si>
  <si>
    <t>더 이상 입력불가</t>
    <phoneticPr fontId="3" type="noConversion"/>
  </si>
  <si>
    <t>1.1.1</t>
  </si>
  <si>
    <t>1.1.2</t>
  </si>
  <si>
    <t>이지은</t>
  </si>
  <si>
    <t>1.2.1</t>
  </si>
  <si>
    <t>1.2.2</t>
  </si>
  <si>
    <t>1.3.1</t>
  </si>
  <si>
    <t>1.3.2</t>
  </si>
  <si>
    <t>홍길동</t>
  </si>
  <si>
    <t>1.2</t>
  </si>
  <si>
    <t>1.3</t>
  </si>
  <si>
    <t>프로젝트 착수</t>
  </si>
  <si>
    <t>2.1</t>
  </si>
  <si>
    <t>2.1.1</t>
  </si>
  <si>
    <t>2.1.2</t>
  </si>
  <si>
    <t>2.1.2.1</t>
  </si>
  <si>
    <t>2.1.2.2</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</si>
  <si>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</si>
  <si>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</si>
  <si>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</si>
  <si>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</si>
  <si>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</si>
  <si>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</si>
  <si>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</si>
  <si>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</si>
  <si>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</si>
  <si>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</si>
  <si>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</si>
  <si>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</si>
  <si>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</si>
  <si>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</si>
  <si>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</si>
  <si>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</si>
  <si>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요구사항정의</t>
  </si>
  <si>
    <t>프로세스모델링</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</si>
  <si>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</si>
  <si>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</si>
  <si>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</si>
  <si>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</si>
  <si>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</si>
  <si>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</si>
  <si>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</si>
  <si>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</si>
  <si>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</si>
  <si>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</si>
  <si>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</si>
  <si>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</si>
  <si>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</si>
  <si>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</si>
  <si>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</si>
  <si>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</si>
  <si>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</si>
  <si>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</si>
  <si>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</si>
  <si>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</si>
  <si>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</si>
  <si>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</si>
  <si>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</si>
  <si>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</si>
  <si>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</si>
  <si>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</si>
  <si>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</si>
  <si>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</si>
  <si>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</si>
  <si>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</si>
  <si>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</si>
  <si>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</si>
  <si>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</si>
  <si>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</si>
  <si>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</si>
  <si>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</si>
  <si>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</si>
  <si>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</si>
  <si>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</si>
  <si>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</si>
  <si>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</si>
  <si>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</si>
  <si>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</si>
  <si>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</si>
  <si>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</si>
  <si>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</si>
  <si>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2.2</t>
  </si>
  <si>
    <t>2.3</t>
  </si>
  <si>
    <t>2.4</t>
  </si>
  <si>
    <t>DEFINED</t>
    <phoneticPr fontId="1" type="noConversion"/>
  </si>
  <si>
    <t>PDF</t>
    <phoneticPr fontId="1" type="noConversion"/>
  </si>
  <si>
    <t>3</t>
  </si>
  <si>
    <t>김분석</t>
  </si>
  <si>
    <t>4</t>
  </si>
  <si>
    <t>박피엠</t>
  </si>
  <si>
    <t>나고객</t>
  </si>
  <si>
    <t>이고객</t>
  </si>
  <si>
    <t>박설계</t>
  </si>
  <si>
    <t>6</t>
  </si>
  <si>
    <t>5</t>
  </si>
  <si>
    <t>Workload현황(주별)</t>
  </si>
  <si>
    <t>* 주별 또는 월별 Workload를 보여줍니다.</t>
  </si>
  <si>
    <t>* "Workload(주별)" 또는 "Workload(월별)" 메뉴를 클릭해야 내용이 갱신됩니다.</t>
  </si>
  <si>
    <t>일 (월평균 근무일수)</t>
  </si>
  <si>
    <t>차트</t>
  </si>
  <si>
    <r>
      <t xml:space="preserve">XLGantt 5.0.0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</si>
  <si>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2023
W2</t>
  </si>
  <si>
    <t>요구사항명세서</t>
  </si>
  <si>
    <t>일정조정</t>
  </si>
  <si>
    <t>프로토타입제작</t>
  </si>
  <si>
    <t>큰틀만들기</t>
  </si>
  <si>
    <t>간트차트제작</t>
  </si>
  <si>
    <t>클래스다이어그램</t>
  </si>
  <si>
    <t>작업분배</t>
  </si>
  <si>
    <t>깃허브</t>
  </si>
  <si>
    <t>카페관리 프로그램 제작</t>
  </si>
  <si>
    <t>프레임</t>
  </si>
  <si>
    <t>1.4</t>
  </si>
  <si>
    <t>1.4.1</t>
  </si>
  <si>
    <t>1.4.2</t>
  </si>
  <si>
    <t>1.4.3</t>
  </si>
  <si>
    <t>위치</t>
  </si>
  <si>
    <t>색상</t>
  </si>
  <si>
    <t>1.4.4</t>
  </si>
  <si>
    <t>1.4.5</t>
  </si>
  <si>
    <t>세세한틀</t>
  </si>
  <si>
    <t>작은틀</t>
  </si>
  <si>
    <t>1.1.3</t>
  </si>
  <si>
    <t>패널</t>
  </si>
  <si>
    <t>인원수라벨</t>
  </si>
  <si>
    <t>잔여좌석라벨</t>
  </si>
  <si>
    <t>입장버튼</t>
  </si>
  <si>
    <t>퇴장버튼</t>
  </si>
  <si>
    <t>버튼이벤트리스너</t>
  </si>
  <si>
    <t>1.4.6</t>
  </si>
  <si>
    <t>1.4.7</t>
  </si>
  <si>
    <t>1.4.8</t>
  </si>
  <si>
    <t>1.4.9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</si>
</sst>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0"/>
    <numFmt numFmtId="178" formatCode="0.0_);[Red]\(0.0\)"/>
    <numFmt numFmtId="179" formatCode="0.00_);[Red]\(0.00\)"/>
  </numFmts>
  <fonts count="59">
    <font>
      <sz val="11"/>
      <color theme="1"/>
      <name val="맑은 고딕"/>
      <family val="2"/>
      <scheme val="minor"/>
    </font>
    <font>
      <sz val="8"/>
      <name val="맑은 고딕"/>
      <family val="3"/>
      <charset val="129"/>
      <scheme val="minor"/>
    </font>
    <font>
      <u/>
      <sz val="11"/>
      <color theme="10"/>
      <name val="돋움"/>
      <family val="3"/>
      <charset val="129"/>
    </font>
    <font>
      <sz val="8"/>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name val="맑은 고딕"/>
      <family val="3"/>
      <charset val="129"/>
      <scheme val="minor"/>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0"/>
      <color theme="10"/>
      <name val="Calibri"/>
      <family val="2"/>
    </font>
    <font>
      <sz val="11"/>
      <color theme="1"/>
      <name val="맑은 고딕"/>
      <family val="2"/>
      <scheme val="minor"/>
    </font>
    <font>
      <b/>
      <sz val="9"/>
      <name val="맑은 고딕"/>
      <family val="3"/>
      <charset val="129"/>
      <scheme val="minor"/>
    </font>
    <font>
      <b/>
      <sz val="20"/>
      <color rgb="FFFF8800"/>
      <name val="Calibri"/>
      <family val="2"/>
    </font>
    <font>
      <sz val="9"/>
      <color rgb="FFFF8800"/>
      <name val="Calibri"/>
      <family val="2"/>
    </font>
    <font>
      <sz val="8"/>
      <color theme="0"/>
      <name val="Calibri"/>
      <family val="2"/>
    </font>
    <font>
      <sz val="8"/>
      <color rgb="FFFF8800"/>
      <name val="Calibri"/>
      <family val="2"/>
    </font>
    <font>
      <b/>
      <sz val="14"/>
      <color rgb="FFFF8800"/>
      <name val="Calibri"/>
      <family val="2"/>
    </font>
    <font>
      <sz val="9"/>
      <name val="Calibri"/>
      <family val="2"/>
    </font>
    <font>
      <sz val="9"/>
      <color theme="0"/>
      <name val="Calibri"/>
      <family val="2"/>
    </font>
    <font>
      <sz val="9"/>
      <color theme="1"/>
      <name val="Calibri"/>
      <family val="2"/>
    </font>
    <font>
      <sz val="9"/>
      <color rgb="FFFF0000"/>
      <name val="Calibri"/>
      <family val="2"/>
    </font>
    <font>
      <sz val="9"/>
      <color theme="1"/>
      <name val="맑은 고딕"/>
      <family val="3"/>
      <charset val="129"/>
    </font>
    <font>
      <b/>
      <sz val="11"/>
      <color theme="0"/>
      <name val="Calibri"/>
      <family val="2"/>
      <charset val="129"/>
    </font>
    <font>
      <sz val="12"/>
      <name val="Calibri"/>
      <family val="3"/>
      <charset val="129"/>
    </font>
    <font>
      <sz val="9"/>
      <color theme="1"/>
      <name val="맑은 고딕"/>
      <family val="2"/>
      <charset val="129"/>
    </font>
    <font>
      <sz val="9"/>
      <color theme="1"/>
      <name val="Calibri"/>
      <family val="3"/>
      <charset val="129"/>
    </font>
    <font>
      <sz val="9"/>
      <color theme="1"/>
      <name val="Arial Unicode MS"/>
      <family val="2"/>
      <charset val="129"/>
    </font>
    <font>
      <b/>
      <sz val="10"/>
      <color theme="10"/>
      <name val="Malgun Gothic"/>
      <family val="3"/>
      <charset val="129"/>
    </font>
    <font>
      <b/>
      <sz val="9"/>
      <color rgb="FFFF8800"/>
      <name val="돋움"/>
      <family val="3"/>
      <charset val="129"/>
    </font>
    <font>
      <sz val="9"/>
      <color rgb="FFFF8800"/>
      <name val="맑은 고딕"/>
      <family val="3"/>
      <charset val="129"/>
      <scheme val="minor"/>
    </font>
    <font>
      <sz val="11"/>
      <name val="Arial Narrow"/>
      <family val="2"/>
    </font>
  </fonts>
  <fills count="22">
    <fill>
      <patternFill patternType="none"/>
    </fill>
    <fill>
      <patternFill patternType="gray125"/>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FF00"/>
        <bgColor indexed="64"/>
      </patternFill>
    </fill>
    <fill>
      <patternFill patternType="solid">
        <fgColor rgb="FF00CC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int="-0.14993743705557422"/>
      </top>
      <bottom style="thin">
        <color theme="0" tint="-0.14993743705557422"/>
      </bottom>
      <diagonal/>
    </border>
  </borders>
  <cellStyleXfs count="3">
    <xf numFmtId="0" fontId="0" fillId="0" borderId="0"/>
    <xf numFmtId="0" fontId="2" fillId="0" borderId="0" applyNumberFormat="0" applyFill="0" applyBorder="0" applyAlignment="0" applyProtection="0"/>
    <xf numFmtId="9" fontId="38" fillId="0" borderId="0" applyFont="0" applyFill="0" applyBorder="0" applyAlignment="0" applyProtection="0">
      <alignment vertical="center"/>
    </xf>
  </cellStyleXfs>
  <cellXfs count="272">
    <xf numFmtId="0" fontId="0" fillId="0" borderId="0" xfId="0"/>
    <xf numFmtId="0" fontId="5" fillId="0" borderId="0" xfId="0" applyFont="1" applyAlignment="1">
      <alignment vertical="center"/>
    </xf>
    <xf numFmtId="0" fontId="4" fillId="0" borderId="0" xfId="0" applyFont="1" applyAlignment="1">
      <alignment vertical="center"/>
    </xf>
    <xf numFmtId="14" fontId="6" fillId="0" borderId="0" xfId="0" applyNumberFormat="1" applyFont="1" applyAlignment="1">
      <alignment vertical="center"/>
    </xf>
    <xf numFmtId="14" fontId="7" fillId="0" borderId="0" xfId="0" applyNumberFormat="1" applyFont="1" applyAlignment="1">
      <alignment vertical="center"/>
    </xf>
    <xf numFmtId="14" fontId="8" fillId="2" borderId="0" xfId="0" quotePrefix="1" applyNumberFormat="1" applyFont="1" applyFill="1"/>
    <xf numFmtId="14" fontId="8" fillId="2" borderId="0" xfId="0" applyNumberFormat="1" applyFont="1" applyFill="1" applyAlignment="1">
      <alignment vertical="center"/>
    </xf>
    <xf numFmtId="0" fontId="8" fillId="2" borderId="0" xfId="0" applyFont="1" applyFill="1"/>
    <xf numFmtId="176" fontId="10" fillId="2" borderId="0" xfId="0" applyNumberFormat="1" applyFont="1" applyFill="1" applyAlignment="1" applyProtection="1">
      <alignment vertical="center"/>
      <protection locked="0"/>
    </xf>
    <xf numFmtId="14" fontId="9" fillId="2" borderId="0" xfId="0" applyNumberFormat="1" applyFont="1" applyFill="1" applyAlignment="1">
      <alignment vertical="center"/>
    </xf>
    <xf numFmtId="14" fontId="8" fillId="0" borderId="6" xfId="0" applyNumberFormat="1" applyFont="1" applyBorder="1" applyAlignment="1" applyProtection="1">
      <alignment vertical="top"/>
      <protection locked="0"/>
    </xf>
    <xf numFmtId="14" fontId="8" fillId="0" borderId="6" xfId="0" applyNumberFormat="1" applyFont="1" applyBorder="1" applyAlignment="1" applyProtection="1">
      <alignment vertical="center"/>
      <protection locked="0"/>
    </xf>
    <xf numFmtId="0" fontId="8" fillId="0" borderId="6" xfId="0" applyFont="1" applyBorder="1" applyAlignment="1" applyProtection="1">
      <alignment vertical="top"/>
      <protection locked="0"/>
    </xf>
    <xf numFmtId="0" fontId="8" fillId="0" borderId="6" xfId="0" applyFont="1" applyBorder="1" applyAlignment="1" applyProtection="1">
      <alignment vertical="center" wrapText="1"/>
      <protection locked="0"/>
    </xf>
    <xf numFmtId="0" fontId="8" fillId="0" borderId="6" xfId="0" applyFont="1" applyBorder="1" applyAlignment="1" applyProtection="1">
      <alignment vertical="center"/>
      <protection locked="0"/>
    </xf>
    <xf numFmtId="0" fontId="8" fillId="0" borderId="0" xfId="0" applyFont="1" applyAlignment="1" applyProtection="1">
      <alignment vertical="top"/>
      <protection locked="0"/>
    </xf>
    <xf numFmtId="14" fontId="11" fillId="0" borderId="0" xfId="0" applyNumberFormat="1" applyFont="1" applyAlignment="1" applyProtection="1">
      <alignment horizontal="right" vertical="top"/>
      <protection locked="0"/>
    </xf>
    <xf numFmtId="179" fontId="8" fillId="4" borderId="7" xfId="0" applyNumberFormat="1" applyFont="1" applyFill="1" applyBorder="1" applyAlignment="1" applyProtection="1">
      <alignment vertical="center"/>
      <protection locked="0"/>
    </xf>
    <xf numFmtId="14" fontId="11" fillId="0" borderId="8" xfId="0" applyNumberFormat="1" applyFont="1" applyBorder="1" applyAlignment="1" applyProtection="1">
      <alignment horizontal="right" vertical="top"/>
      <protection locked="0"/>
    </xf>
    <xf numFmtId="14" fontId="8" fillId="0" borderId="8" xfId="0" applyNumberFormat="1" applyFont="1" applyBorder="1" applyAlignment="1" applyProtection="1">
      <alignment vertical="center"/>
      <protection locked="0"/>
    </xf>
    <xf numFmtId="0" fontId="8" fillId="0" borderId="8" xfId="0" applyFont="1" applyBorder="1" applyAlignment="1" applyProtection="1">
      <alignment vertical="top"/>
      <protection locked="0"/>
    </xf>
    <xf numFmtId="0" fontId="8" fillId="0" borderId="8" xfId="0" applyFont="1" applyBorder="1" applyAlignment="1" applyProtection="1">
      <alignment vertical="center"/>
      <protection locked="0"/>
    </xf>
    <xf numFmtId="14" fontId="11" fillId="0" borderId="0" xfId="0" applyNumberFormat="1" applyFont="1" applyAlignment="1" applyProtection="1">
      <alignment vertical="top"/>
      <protection locked="0"/>
    </xf>
    <xf numFmtId="14" fontId="8" fillId="0" borderId="0" xfId="0" applyNumberFormat="1" applyFont="1" applyAlignment="1" applyProtection="1">
      <alignment vertical="center"/>
      <protection locked="0"/>
    </xf>
    <xf numFmtId="0" fontId="8" fillId="0" borderId="9" xfId="0" applyFont="1" applyBorder="1" applyAlignment="1" applyProtection="1">
      <alignment vertical="center" wrapText="1"/>
      <protection locked="0"/>
    </xf>
    <xf numFmtId="14" fontId="8" fillId="0" borderId="0" xfId="0" applyNumberFormat="1" applyFont="1" applyAlignment="1" applyProtection="1">
      <alignment vertical="top"/>
      <protection locked="0"/>
    </xf>
    <xf numFmtId="14" fontId="11" fillId="0" borderId="8" xfId="0" applyNumberFormat="1" applyFont="1" applyBorder="1" applyAlignment="1" applyProtection="1">
      <alignment vertical="top"/>
      <protection locked="0"/>
    </xf>
    <xf numFmtId="0" fontId="8" fillId="0" borderId="8" xfId="0" applyFont="1" applyBorder="1" applyAlignment="1" applyProtection="1">
      <alignment vertical="center" wrapText="1"/>
      <protection locked="0"/>
    </xf>
    <xf numFmtId="14" fontId="11" fillId="0" borderId="9" xfId="0" applyNumberFormat="1" applyFont="1" applyBorder="1" applyAlignment="1" applyProtection="1">
      <alignment vertical="center" wrapText="1"/>
      <protection locked="0"/>
    </xf>
    <xf numFmtId="14" fontId="11" fillId="0" borderId="0" xfId="0" applyNumberFormat="1" applyFont="1" applyAlignment="1" applyProtection="1">
      <alignment horizontal="right" vertical="center" wrapText="1"/>
      <protection locked="0"/>
    </xf>
    <xf numFmtId="14" fontId="11" fillId="0" borderId="8" xfId="0" applyNumberFormat="1" applyFont="1" applyBorder="1" applyAlignment="1" applyProtection="1">
      <alignment vertical="center" wrapText="1"/>
      <protection locked="0"/>
    </xf>
    <xf numFmtId="0" fontId="8" fillId="0" borderId="8" xfId="0" applyFont="1" applyBorder="1" applyProtection="1">
      <protection locked="0"/>
    </xf>
    <xf numFmtId="0" fontId="8" fillId="0" borderId="0" xfId="0" applyFont="1" applyProtection="1">
      <protection locked="0"/>
    </xf>
    <xf numFmtId="14" fontId="8" fillId="0" borderId="0" xfId="0" applyNumberFormat="1" applyFont="1" applyProtection="1">
      <protection locked="0"/>
    </xf>
    <xf numFmtId="14" fontId="8" fillId="0" borderId="9" xfId="0" applyNumberFormat="1" applyFont="1" applyBorder="1" applyAlignment="1" applyProtection="1">
      <alignment vertical="center"/>
      <protection locked="0"/>
    </xf>
    <xf numFmtId="0" fontId="8" fillId="0" borderId="9" xfId="0" applyFont="1" applyBorder="1" applyProtection="1">
      <protection locked="0"/>
    </xf>
    <xf numFmtId="14" fontId="8" fillId="0" borderId="10" xfId="0" applyNumberFormat="1" applyFont="1" applyBorder="1" applyAlignment="1" applyProtection="1">
      <alignment vertical="center"/>
      <protection locked="0"/>
    </xf>
    <xf numFmtId="0" fontId="8" fillId="0" borderId="10" xfId="0" applyFont="1" applyBorder="1" applyAlignment="1" applyProtection="1">
      <alignment vertical="top"/>
      <protection locked="0"/>
    </xf>
    <xf numFmtId="14" fontId="11" fillId="0" borderId="9" xfId="0" applyNumberFormat="1" applyFont="1" applyBorder="1" applyProtection="1">
      <protection locked="0"/>
    </xf>
    <xf numFmtId="10" fontId="8" fillId="4" borderId="7" xfId="0" applyNumberFormat="1" applyFont="1" applyFill="1" applyBorder="1" applyAlignment="1" applyProtection="1">
      <alignment vertical="center"/>
      <protection locked="0"/>
    </xf>
    <xf numFmtId="14" fontId="11" fillId="0" borderId="10" xfId="0" applyNumberFormat="1" applyFont="1" applyBorder="1" applyAlignment="1" applyProtection="1">
      <alignment horizontal="right" vertical="top"/>
      <protection locked="0"/>
    </xf>
    <xf numFmtId="14" fontId="11" fillId="0" borderId="6" xfId="0" applyNumberFormat="1" applyFont="1" applyBorder="1" applyAlignment="1" applyProtection="1">
      <alignment horizontal="right" vertical="top"/>
      <protection locked="0"/>
    </xf>
    <xf numFmtId="14" fontId="11" fillId="0" borderId="11" xfId="0" applyNumberFormat="1" applyFont="1" applyBorder="1" applyAlignment="1" applyProtection="1">
      <alignment horizontal="right" vertical="top"/>
      <protection locked="0"/>
    </xf>
    <xf numFmtId="14" fontId="8" fillId="0" borderId="11" xfId="0" applyNumberFormat="1" applyFont="1" applyBorder="1" applyAlignment="1" applyProtection="1">
      <alignment vertical="center"/>
      <protection locked="0"/>
    </xf>
    <xf numFmtId="0" fontId="8" fillId="0" borderId="11" xfId="0" applyFont="1" applyBorder="1" applyAlignment="1" applyProtection="1">
      <alignment vertical="top"/>
      <protection locked="0"/>
    </xf>
    <xf numFmtId="14" fontId="11" fillId="0" borderId="12" xfId="0" applyNumberFormat="1" applyFont="1" applyBorder="1" applyAlignment="1" applyProtection="1">
      <alignment vertical="top"/>
      <protection locked="0"/>
    </xf>
    <xf numFmtId="14" fontId="8" fillId="0" borderId="12" xfId="0" applyNumberFormat="1" applyFont="1" applyBorder="1" applyAlignment="1" applyProtection="1">
      <alignment vertical="center"/>
      <protection locked="0"/>
    </xf>
    <xf numFmtId="0" fontId="8" fillId="0" borderId="12" xfId="0" applyFont="1" applyBorder="1" applyAlignment="1" applyProtection="1">
      <alignment vertical="top"/>
      <protection locked="0"/>
    </xf>
    <xf numFmtId="0" fontId="8" fillId="0" borderId="9" xfId="0" applyFont="1" applyBorder="1" applyAlignment="1" applyProtection="1">
      <alignment vertical="center"/>
      <protection locked="0"/>
    </xf>
    <xf numFmtId="10" fontId="8" fillId="4" borderId="7" xfId="0" applyNumberFormat="1" applyFont="1" applyFill="1" applyBorder="1" applyAlignment="1">
      <alignment vertical="center"/>
    </xf>
    <xf numFmtId="14" fontId="8" fillId="0" borderId="13" xfId="0" applyNumberFormat="1" applyFont="1" applyBorder="1" applyAlignment="1" applyProtection="1">
      <alignment horizontal="right" vertical="top"/>
      <protection locked="0"/>
    </xf>
    <xf numFmtId="14" fontId="8" fillId="0" borderId="13" xfId="0" applyNumberFormat="1" applyFont="1" applyBorder="1" applyAlignment="1" applyProtection="1">
      <alignment vertical="center"/>
      <protection locked="0"/>
    </xf>
    <xf numFmtId="0" fontId="8" fillId="0" borderId="13" xfId="0" applyFont="1" applyBorder="1" applyAlignment="1" applyProtection="1">
      <alignment vertical="top"/>
      <protection locked="0"/>
    </xf>
    <xf numFmtId="0" fontId="8" fillId="0" borderId="13" xfId="0" applyFont="1" applyBorder="1" applyAlignment="1" applyProtection="1">
      <alignment vertical="center"/>
      <protection locked="0"/>
    </xf>
    <xf numFmtId="14" fontId="7" fillId="0" borderId="0" xfId="0" applyNumberFormat="1" applyFont="1" applyAlignment="1" applyProtection="1">
      <alignment vertical="top"/>
      <protection locked="0"/>
    </xf>
    <xf numFmtId="14" fontId="7" fillId="0" borderId="0" xfId="0" applyNumberFormat="1" applyFont="1" applyAlignment="1" applyProtection="1">
      <alignment vertical="center"/>
      <protection locked="0"/>
    </xf>
    <xf numFmtId="0" fontId="7" fillId="0" borderId="0" xfId="0" applyFont="1" applyAlignment="1" applyProtection="1">
      <alignment vertical="top"/>
      <protection locked="0"/>
    </xf>
    <xf numFmtId="14" fontId="7" fillId="0" borderId="0" xfId="0" applyNumberFormat="1" applyFont="1" applyProtection="1">
      <protection locked="0"/>
    </xf>
    <xf numFmtId="179" fontId="7" fillId="0" borderId="0" xfId="0" applyNumberFormat="1" applyFont="1" applyAlignment="1" applyProtection="1">
      <alignment vertical="center"/>
      <protection locked="0"/>
    </xf>
    <xf numFmtId="0" fontId="7" fillId="0" borderId="0" xfId="0" applyFont="1" applyProtection="1">
      <protection locked="0"/>
    </xf>
    <xf numFmtId="1" fontId="7" fillId="0" borderId="0" xfId="0" applyNumberFormat="1" applyFont="1" applyAlignment="1" applyProtection="1">
      <alignment vertical="center"/>
      <protection locked="0"/>
    </xf>
    <xf numFmtId="176" fontId="7" fillId="0" borderId="0" xfId="0" applyNumberFormat="1" applyFont="1" applyAlignment="1" applyProtection="1">
      <alignment vertical="center"/>
      <protection locked="0"/>
    </xf>
    <xf numFmtId="0" fontId="7" fillId="5" borderId="1" xfId="0" applyFont="1" applyFill="1" applyBorder="1" applyAlignment="1">
      <alignment horizontal="left" wrapText="1"/>
    </xf>
    <xf numFmtId="14" fontId="7" fillId="0" borderId="0" xfId="0" applyNumberFormat="1" applyFont="1"/>
    <xf numFmtId="14" fontId="7" fillId="2" borderId="0" xfId="0" applyNumberFormat="1" applyFont="1" applyFill="1" applyAlignment="1">
      <alignment vertical="top"/>
    </xf>
    <xf numFmtId="14" fontId="13" fillId="3" borderId="14" xfId="0" applyNumberFormat="1" applyFont="1" applyFill="1" applyBorder="1" applyAlignment="1">
      <alignment horizontal="center" vertical="center"/>
    </xf>
    <xf numFmtId="14" fontId="7" fillId="0" borderId="0" xfId="0" applyNumberFormat="1" applyFont="1" applyAlignment="1">
      <alignment horizontal="center" vertical="center"/>
    </xf>
    <xf numFmtId="0" fontId="8" fillId="7" borderId="15" xfId="0" applyFont="1" applyFill="1" applyBorder="1" applyAlignment="1">
      <alignment horizontal="left" vertical="top"/>
    </xf>
    <xf numFmtId="0" fontId="8" fillId="0" borderId="0" xfId="0" applyFont="1" applyAlignment="1">
      <alignment horizontal="left" vertical="top"/>
    </xf>
    <xf numFmtId="0" fontId="8" fillId="0" borderId="0" xfId="0" applyFont="1" applyAlignment="1">
      <alignment vertical="top"/>
    </xf>
    <xf numFmtId="14" fontId="8" fillId="0" borderId="0" xfId="0" applyNumberFormat="1" applyFont="1" applyAlignment="1">
      <alignment horizontal="left" vertical="top"/>
    </xf>
    <xf numFmtId="22" fontId="8" fillId="0" borderId="0" xfId="0" applyNumberFormat="1" applyFont="1" applyAlignment="1">
      <alignment horizontal="left" vertical="top"/>
    </xf>
    <xf numFmtId="0" fontId="7" fillId="5" borderId="2" xfId="0" applyFont="1" applyFill="1" applyBorder="1" applyAlignment="1">
      <alignment horizontal="left" wrapText="1"/>
    </xf>
    <xf numFmtId="0" fontId="7" fillId="0" borderId="0" xfId="0" applyFont="1"/>
    <xf numFmtId="14" fontId="16" fillId="6" borderId="14" xfId="0" applyNumberFormat="1" applyFont="1" applyFill="1" applyBorder="1" applyProtection="1">
      <protection locked="0"/>
    </xf>
    <xf numFmtId="14" fontId="16" fillId="0" borderId="14" xfId="0" applyNumberFormat="1" applyFont="1" applyBorder="1" applyProtection="1">
      <protection locked="0"/>
    </xf>
    <xf numFmtId="14" fontId="16" fillId="0" borderId="0" xfId="0" applyNumberFormat="1" applyFont="1"/>
    <xf numFmtId="0" fontId="19" fillId="0" borderId="0" xfId="0" applyFont="1"/>
    <xf numFmtId="14" fontId="16" fillId="0" borderId="14" xfId="0" applyNumberFormat="1" applyFont="1" applyBorder="1"/>
    <xf numFmtId="0" fontId="21" fillId="0" borderId="0" xfId="0" applyFont="1"/>
    <xf numFmtId="0" fontId="8" fillId="0" borderId="0" xfId="0" applyFont="1" applyAlignment="1" applyProtection="1">
      <alignment horizontal="center"/>
      <protection locked="0"/>
    </xf>
    <xf numFmtId="0" fontId="22" fillId="0" borderId="0" xfId="0" applyFont="1" applyAlignment="1" applyProtection="1">
      <alignment horizontal="center"/>
      <protection locked="0"/>
    </xf>
    <xf numFmtId="0" fontId="23" fillId="0" borderId="0" xfId="0" applyFont="1" applyProtection="1">
      <protection locked="0"/>
    </xf>
    <xf numFmtId="0" fontId="8" fillId="0" borderId="0" xfId="0" applyFont="1" applyAlignment="1" applyProtection="1">
      <alignment vertical="center"/>
      <protection locked="0"/>
    </xf>
    <xf numFmtId="0" fontId="24" fillId="11" borderId="17" xfId="1" applyFont="1" applyFill="1" applyBorder="1" applyAlignment="1" applyProtection="1">
      <alignment horizontal="center" vertical="center" wrapText="1"/>
      <protection locked="0"/>
    </xf>
    <xf numFmtId="0" fontId="24" fillId="10" borderId="17" xfId="1" applyFont="1" applyFill="1" applyBorder="1" applyAlignment="1" applyProtection="1">
      <alignment horizontal="center" vertical="center" wrapText="1"/>
      <protection locked="0"/>
    </xf>
    <xf numFmtId="0" fontId="24" fillId="12" borderId="17" xfId="1" applyFont="1" applyFill="1" applyBorder="1" applyAlignment="1" applyProtection="1">
      <alignment horizontal="center" vertical="center" wrapText="1"/>
      <protection locked="0"/>
    </xf>
    <xf numFmtId="0" fontId="24" fillId="13" borderId="17" xfId="1" applyFont="1" applyFill="1" applyBorder="1" applyAlignment="1" applyProtection="1">
      <alignment horizontal="center" vertical="center" wrapText="1"/>
      <protection locked="0"/>
    </xf>
    <xf numFmtId="0" fontId="24" fillId="9" borderId="17" xfId="1" applyFont="1" applyFill="1" applyBorder="1" applyAlignment="1" applyProtection="1">
      <alignment horizontal="center" vertical="center" wrapText="1"/>
      <protection locked="0"/>
    </xf>
    <xf numFmtId="0" fontId="25" fillId="9" borderId="17" xfId="1" applyFont="1" applyFill="1" applyBorder="1" applyAlignment="1" applyProtection="1">
      <alignment horizontal="center" vertical="center" wrapText="1"/>
      <protection locked="0"/>
    </xf>
    <xf numFmtId="0" fontId="21" fillId="0" borderId="0" xfId="0" applyFont="1" applyAlignment="1">
      <alignment vertical="center"/>
    </xf>
    <xf numFmtId="0" fontId="21" fillId="0" borderId="0" xfId="0" applyFont="1" applyAlignment="1">
      <alignment horizontal="center" vertical="center"/>
    </xf>
    <xf numFmtId="0" fontId="7" fillId="0" borderId="0" xfId="0" applyFont="1" applyAlignment="1">
      <alignment vertical="center"/>
    </xf>
    <xf numFmtId="0" fontId="26" fillId="0" borderId="0" xfId="0" applyFont="1" applyAlignment="1" applyProtection="1">
      <alignment horizontal="center"/>
      <protection locked="0"/>
    </xf>
    <xf numFmtId="0" fontId="25" fillId="8" borderId="17" xfId="1" applyFont="1" applyFill="1" applyBorder="1" applyAlignment="1" applyProtection="1">
      <alignment horizontal="center" vertical="center" wrapText="1"/>
      <protection locked="0"/>
    </xf>
    <xf numFmtId="0" fontId="23" fillId="0" borderId="0" xfId="0" applyFont="1" applyAlignment="1" applyProtection="1">
      <alignment horizontal="center"/>
      <protection locked="0"/>
    </xf>
    <xf numFmtId="0" fontId="26" fillId="14" borderId="0" xfId="0" applyFont="1" applyFill="1" applyAlignment="1" applyProtection="1">
      <alignment horizontal="left"/>
      <protection locked="0"/>
    </xf>
    <xf numFmtId="0" fontId="8" fillId="14" borderId="0" xfId="0" applyFont="1" applyFill="1" applyProtection="1">
      <protection locked="0"/>
    </xf>
    <xf numFmtId="0" fontId="23" fillId="14" borderId="0" xfId="0" applyFont="1" applyFill="1" applyProtection="1">
      <protection locked="0"/>
    </xf>
    <xf numFmtId="0" fontId="8" fillId="14" borderId="0" xfId="0" applyFont="1" applyFill="1" applyAlignment="1" applyProtection="1">
      <alignment vertical="center"/>
      <protection locked="0"/>
    </xf>
    <xf numFmtId="0" fontId="21" fillId="0" borderId="0" xfId="0" applyFont="1" applyAlignment="1">
      <alignment horizontal="center"/>
    </xf>
    <xf numFmtId="0" fontId="2" fillId="0" borderId="18" xfId="1" applyFill="1" applyBorder="1" applyAlignment="1" applyProtection="1">
      <alignment horizontal="center" vertical="center" wrapText="1"/>
      <protection locked="0"/>
    </xf>
    <xf numFmtId="14" fontId="7" fillId="0" borderId="0" xfId="0" applyNumberFormat="1" applyFont="1" applyAlignment="1" applyProtection="1">
      <alignment horizontal="left"/>
      <protection locked="0"/>
    </xf>
    <xf numFmtId="0" fontId="7" fillId="0" borderId="0" xfId="0" applyFont="1" applyAlignment="1" applyProtection="1">
      <alignment horizontal="left"/>
      <protection locked="0"/>
    </xf>
    <xf numFmtId="10" fontId="7" fillId="0" borderId="0" xfId="0" applyNumberFormat="1" applyFont="1" applyAlignment="1" applyProtection="1">
      <alignment horizontal="left"/>
      <protection locked="0"/>
    </xf>
    <xf numFmtId="0" fontId="7" fillId="0" borderId="0" xfId="0" quotePrefix="1" applyFont="1" applyAlignment="1" applyProtection="1">
      <alignment horizontal="left"/>
      <protection locked="0"/>
    </xf>
    <xf numFmtId="0" fontId="7" fillId="0" borderId="0" xfId="0" applyFont="1" applyAlignment="1" applyProtection="1">
      <alignment horizontal="center"/>
      <protection locked="0"/>
    </xf>
    <xf numFmtId="10" fontId="7" fillId="0" borderId="0" xfId="0" applyNumberFormat="1" applyFont="1" applyAlignment="1" applyProtection="1">
      <alignment horizontal="center"/>
      <protection locked="0"/>
    </xf>
    <xf numFmtId="0" fontId="33" fillId="16" borderId="0" xfId="1" applyFont="1" applyFill="1" applyBorder="1" applyAlignment="1">
      <alignment vertical="top" wrapText="1"/>
    </xf>
    <xf numFmtId="0" fontId="33" fillId="16" borderId="0" xfId="1" applyNumberFormat="1" applyFont="1" applyFill="1" applyBorder="1" applyAlignment="1">
      <alignment vertical="top"/>
    </xf>
    <xf numFmtId="0" fontId="33" fillId="16" borderId="0" xfId="1" applyFont="1" applyFill="1" applyBorder="1" applyAlignment="1">
      <alignment vertical="top"/>
    </xf>
    <xf numFmtId="0" fontId="30" fillId="16" borderId="0" xfId="1" applyFont="1" applyFill="1" applyBorder="1" applyAlignment="1">
      <alignment horizontal="right" vertical="top"/>
    </xf>
    <xf numFmtId="0" fontId="30" fillId="16" borderId="0" xfId="1" applyFont="1" applyFill="1" applyBorder="1" applyAlignment="1">
      <alignment horizontal="right" vertical="center"/>
    </xf>
    <xf numFmtId="0" fontId="21" fillId="19" borderId="20" xfId="0" applyFont="1" applyFill="1" applyBorder="1" applyAlignment="1">
      <alignment vertical="center"/>
    </xf>
    <xf numFmtId="0" fontId="34" fillId="16" borderId="0" xfId="1" applyNumberFormat="1" applyFont="1" applyFill="1" applyBorder="1" applyAlignment="1">
      <alignment horizontal="right"/>
    </xf>
    <xf numFmtId="178" fontId="34" fillId="16" borderId="0" xfId="1" applyNumberFormat="1" applyFont="1" applyFill="1" applyBorder="1" applyAlignment="1">
      <alignment horizontal="right"/>
    </xf>
    <xf numFmtId="0" fontId="35" fillId="16" borderId="0" xfId="1" applyNumberFormat="1" applyFont="1" applyFill="1" applyBorder="1" applyAlignment="1"/>
    <xf numFmtId="0" fontId="35" fillId="16" borderId="0" xfId="1" applyNumberFormat="1" applyFont="1" applyFill="1" applyBorder="1" applyAlignment="1">
      <alignment horizontal="right"/>
    </xf>
    <xf numFmtId="0" fontId="18" fillId="0" borderId="0" xfId="0" applyFont="1" applyAlignment="1">
      <alignment horizontal="left" vertical="center"/>
    </xf>
    <xf numFmtId="0" fontId="18" fillId="0" borderId="4" xfId="0" applyFont="1" applyBorder="1" applyAlignment="1" applyProtection="1">
      <alignment horizontal="left" vertical="center"/>
      <protection locked="0"/>
    </xf>
    <xf numFmtId="0" fontId="29" fillId="16" borderId="0" xfId="0" applyFont="1" applyFill="1" applyAlignment="1">
      <alignment horizontal="left" vertical="top"/>
    </xf>
    <xf numFmtId="0" fontId="29" fillId="16" borderId="0" xfId="0" applyFont="1" applyFill="1" applyAlignment="1">
      <alignment horizontal="left" vertical="center"/>
    </xf>
    <xf numFmtId="0" fontId="30" fillId="16" borderId="0" xfId="0" applyFont="1" applyFill="1" applyAlignment="1">
      <alignment horizontal="left" vertical="top"/>
    </xf>
    <xf numFmtId="0" fontId="31" fillId="16" borderId="0" xfId="0" applyFont="1" applyFill="1" applyAlignment="1">
      <alignment vertical="center"/>
    </xf>
    <xf numFmtId="14" fontId="31" fillId="16" borderId="0" xfId="0" applyNumberFormat="1" applyFont="1" applyFill="1" applyAlignment="1">
      <alignment vertical="top"/>
    </xf>
    <xf numFmtId="14" fontId="32" fillId="16" borderId="0" xfId="0" applyNumberFormat="1" applyFont="1" applyFill="1" applyAlignment="1">
      <alignment horizontal="left" vertical="top" wrapText="1"/>
    </xf>
    <xf numFmtId="178" fontId="33" fillId="16" borderId="0" xfId="0" applyNumberFormat="1" applyFont="1" applyFill="1" applyAlignment="1">
      <alignment horizontal="center" vertical="top"/>
    </xf>
    <xf numFmtId="178" fontId="29" fillId="16" borderId="0" xfId="0" applyNumberFormat="1" applyFont="1" applyFill="1" applyAlignment="1">
      <alignment horizontal="center" vertical="top"/>
    </xf>
    <xf numFmtId="178" fontId="31" fillId="16" borderId="0" xfId="0" applyNumberFormat="1" applyFont="1" applyFill="1" applyAlignment="1">
      <alignment horizontal="center" vertical="top"/>
    </xf>
    <xf numFmtId="14" fontId="31" fillId="16" borderId="0" xfId="0" applyNumberFormat="1" applyFont="1" applyFill="1" applyAlignment="1">
      <alignment horizontal="center" vertical="top"/>
    </xf>
    <xf numFmtId="1" fontId="31" fillId="16" borderId="0" xfId="0" applyNumberFormat="1" applyFont="1" applyFill="1" applyAlignment="1">
      <alignment horizontal="center" vertical="top"/>
    </xf>
    <xf numFmtId="0" fontId="18" fillId="16" borderId="0" xfId="0" applyFont="1" applyFill="1" applyAlignment="1">
      <alignment horizontal="left" vertical="center"/>
    </xf>
    <xf numFmtId="0" fontId="29" fillId="16" borderId="0" xfId="0" applyFont="1" applyFill="1" applyAlignment="1">
      <alignment horizontal="left"/>
    </xf>
    <xf numFmtId="0" fontId="30" fillId="16" borderId="0" xfId="0" applyFont="1" applyFill="1" applyAlignment="1">
      <alignment horizontal="left"/>
    </xf>
    <xf numFmtId="10" fontId="34" fillId="16" borderId="0" xfId="0" applyNumberFormat="1" applyFont="1" applyFill="1" applyAlignment="1">
      <alignment horizontal="right"/>
    </xf>
    <xf numFmtId="0" fontId="18" fillId="0" borderId="23" xfId="0" applyFont="1" applyBorder="1" applyAlignment="1" applyProtection="1">
      <alignment vertical="top"/>
      <protection locked="0"/>
    </xf>
    <xf numFmtId="0" fontId="18" fillId="0" borderId="23" xfId="0" applyFont="1" applyBorder="1" applyAlignment="1" applyProtection="1">
      <alignment horizontal="left" vertical="top"/>
      <protection locked="0"/>
    </xf>
    <xf numFmtId="14" fontId="18" fillId="0" borderId="23" xfId="0" applyNumberFormat="1" applyFont="1" applyBorder="1" applyAlignment="1" applyProtection="1">
      <alignment horizontal="center" vertical="top"/>
      <protection locked="0"/>
    </xf>
    <xf numFmtId="178" fontId="18" fillId="0" borderId="23" xfId="0" applyNumberFormat="1" applyFont="1" applyBorder="1" applyAlignment="1" applyProtection="1">
      <alignment horizontal="center" vertical="top"/>
      <protection locked="0"/>
    </xf>
    <xf numFmtId="177" fontId="18" fillId="0" borderId="23" xfId="0" applyNumberFormat="1" applyFont="1" applyBorder="1" applyAlignment="1" applyProtection="1">
      <alignment horizontal="center" vertical="top"/>
      <protection locked="0"/>
    </xf>
    <xf numFmtId="1" fontId="18" fillId="0" borderId="23" xfId="0" applyNumberFormat="1" applyFont="1" applyBorder="1" applyAlignment="1" applyProtection="1">
      <alignment horizontal="center" vertical="top"/>
      <protection locked="0"/>
    </xf>
    <xf numFmtId="14" fontId="18" fillId="0" borderId="23" xfId="0" applyNumberFormat="1" applyFont="1" applyBorder="1" applyAlignment="1" applyProtection="1">
      <alignment horizontal="left" vertical="top"/>
      <protection locked="0"/>
    </xf>
    <xf numFmtId="0" fontId="18" fillId="0" borderId="5" xfId="0" applyFont="1" applyBorder="1" applyAlignment="1" applyProtection="1">
      <alignment vertical="top"/>
      <protection locked="0"/>
    </xf>
    <xf numFmtId="0" fontId="18" fillId="0" borderId="5" xfId="0" applyFont="1" applyBorder="1" applyAlignment="1" applyProtection="1">
      <alignment horizontal="center" vertical="top"/>
      <protection locked="0"/>
    </xf>
    <xf numFmtId="0" fontId="18" fillId="0" borderId="5" xfId="0" applyFont="1" applyBorder="1" applyAlignment="1" applyProtection="1">
      <alignment horizontal="left" vertical="top"/>
      <protection locked="0"/>
    </xf>
    <xf numFmtId="14" fontId="18" fillId="0" borderId="5" xfId="0" applyNumberFormat="1" applyFont="1" applyBorder="1" applyAlignment="1" applyProtection="1">
      <alignment horizontal="center" vertical="top"/>
      <protection locked="0"/>
    </xf>
    <xf numFmtId="178" fontId="18" fillId="0" borderId="5" xfId="0" applyNumberFormat="1" applyFont="1" applyBorder="1" applyAlignment="1" applyProtection="1">
      <alignment horizontal="center" vertical="top"/>
      <protection locked="0"/>
    </xf>
    <xf numFmtId="177" fontId="18" fillId="0" borderId="5" xfId="0" applyNumberFormat="1" applyFont="1" applyBorder="1" applyAlignment="1" applyProtection="1">
      <alignment horizontal="center" vertical="top"/>
      <protection locked="0"/>
    </xf>
    <xf numFmtId="1" fontId="18" fillId="0" borderId="5" xfId="0" applyNumberFormat="1" applyFont="1" applyBorder="1" applyAlignment="1" applyProtection="1">
      <alignment horizontal="center" vertical="top"/>
      <protection locked="0"/>
    </xf>
    <xf numFmtId="14" fontId="18" fillId="0" borderId="5" xfId="0" applyNumberFormat="1" applyFont="1" applyBorder="1" applyAlignment="1" applyProtection="1">
      <alignment horizontal="left" vertical="top"/>
      <protection locked="0"/>
    </xf>
    <xf numFmtId="10" fontId="18" fillId="0" borderId="5" xfId="0" applyNumberFormat="1" applyFont="1" applyBorder="1" applyAlignment="1" applyProtection="1">
      <alignment horizontal="right" vertical="top" wrapText="1"/>
      <protection locked="0"/>
    </xf>
    <xf numFmtId="10" fontId="18" fillId="0" borderId="5" xfId="0" applyNumberFormat="1" applyFont="1" applyBorder="1" applyAlignment="1" applyProtection="1">
      <alignment horizontal="right" vertical="top"/>
      <protection locked="0"/>
    </xf>
    <xf numFmtId="0" fontId="2" fillId="16" borderId="0" xfId="1" applyFill="1" applyAlignment="1">
      <alignment horizontal="left" vertical="center"/>
    </xf>
    <xf numFmtId="0" fontId="31" fillId="16" borderId="0" xfId="0" applyFont="1" applyFill="1" applyAlignment="1">
      <alignment horizontal="left" vertical="center"/>
    </xf>
    <xf numFmtId="0" fontId="18" fillId="0" borderId="24" xfId="0" applyFont="1" applyBorder="1" applyAlignment="1" applyProtection="1">
      <alignment vertical="top"/>
      <protection locked="0"/>
    </xf>
    <xf numFmtId="0" fontId="18" fillId="0" borderId="24" xfId="0" applyFont="1" applyBorder="1" applyAlignment="1" applyProtection="1">
      <alignment horizontal="center" vertical="top"/>
      <protection locked="0"/>
    </xf>
    <xf numFmtId="0" fontId="18" fillId="0" borderId="24" xfId="0" applyFont="1" applyBorder="1" applyAlignment="1" applyProtection="1">
      <alignment horizontal="left" vertical="top"/>
      <protection locked="0"/>
    </xf>
    <xf numFmtId="14" fontId="18" fillId="0" borderId="24" xfId="0" applyNumberFormat="1" applyFont="1" applyBorder="1" applyAlignment="1" applyProtection="1">
      <alignment horizontal="center" vertical="top"/>
      <protection locked="0"/>
    </xf>
    <xf numFmtId="178" fontId="18" fillId="0" borderId="24" xfId="0" applyNumberFormat="1" applyFont="1" applyBorder="1" applyAlignment="1" applyProtection="1">
      <alignment horizontal="center" vertical="top"/>
      <protection locked="0"/>
    </xf>
    <xf numFmtId="177" fontId="18" fillId="0" borderId="24" xfId="0" applyNumberFormat="1" applyFont="1" applyBorder="1" applyAlignment="1" applyProtection="1">
      <alignment horizontal="center" vertical="top"/>
      <protection locked="0"/>
    </xf>
    <xf numFmtId="1" fontId="18" fillId="0" borderId="24" xfId="0" applyNumberFormat="1" applyFont="1" applyBorder="1" applyAlignment="1" applyProtection="1">
      <alignment horizontal="center" vertical="top"/>
      <protection locked="0"/>
    </xf>
    <xf numFmtId="14" fontId="18" fillId="0" borderId="24" xfId="0" applyNumberFormat="1" applyFont="1" applyBorder="1" applyAlignment="1" applyProtection="1">
      <alignment horizontal="left" vertical="top"/>
      <protection locked="0"/>
    </xf>
    <xf numFmtId="10" fontId="18" fillId="0" borderId="24" xfId="0" applyNumberFormat="1" applyFont="1" applyBorder="1" applyAlignment="1" applyProtection="1">
      <alignment horizontal="right" vertical="top" wrapText="1"/>
      <protection locked="0"/>
    </xf>
    <xf numFmtId="10" fontId="18" fillId="0" borderId="24" xfId="0" applyNumberFormat="1" applyFont="1" applyBorder="1" applyAlignment="1" applyProtection="1">
      <alignment horizontal="right" vertical="top"/>
      <protection locked="0"/>
    </xf>
    <xf numFmtId="10" fontId="18" fillId="0" borderId="23" xfId="2" applyNumberFormat="1" applyFont="1" applyBorder="1" applyAlignment="1" applyProtection="1">
      <alignment horizontal="right" vertical="top" wrapText="1"/>
      <protection locked="0"/>
    </xf>
    <xf numFmtId="0" fontId="18" fillId="0" borderId="23" xfId="0" quotePrefix="1" applyFont="1" applyBorder="1" applyAlignment="1" applyProtection="1">
      <alignment horizontal="left" vertical="top"/>
      <protection locked="0"/>
    </xf>
    <xf numFmtId="0" fontId="40" fillId="16" borderId="0" xfId="1" applyFont="1" applyFill="1" applyAlignment="1">
      <alignment horizontal="left" vertical="center"/>
    </xf>
    <xf numFmtId="0" fontId="18" fillId="0" borderId="25" xfId="0" applyFont="1" applyBorder="1" applyAlignment="1" applyProtection="1">
      <alignment horizontal="left" vertical="center"/>
      <protection locked="0"/>
    </xf>
    <xf numFmtId="14" fontId="43" fillId="18" borderId="26" xfId="0" applyNumberFormat="1" applyFont="1" applyFill="1" applyBorder="1" applyAlignment="1">
      <alignment horizontal="center" vertical="center"/>
    </xf>
    <xf numFmtId="14" fontId="43" fillId="18" borderId="27" xfId="0" applyNumberFormat="1" applyFont="1" applyFill="1" applyBorder="1" applyAlignment="1">
      <alignment horizontal="center" vertical="center"/>
    </xf>
    <xf numFmtId="0" fontId="18" fillId="0" borderId="29" xfId="0" applyFont="1" applyBorder="1" applyAlignment="1" applyProtection="1">
      <alignment horizontal="left" vertical="center"/>
      <protection locked="0"/>
    </xf>
    <xf numFmtId="0" fontId="18" fillId="0" borderId="30" xfId="0" applyFont="1" applyBorder="1" applyAlignment="1" applyProtection="1">
      <alignment horizontal="left" vertical="center"/>
      <protection locked="0"/>
    </xf>
    <xf numFmtId="10" fontId="18" fillId="16" borderId="23" xfId="2" applyNumberFormat="1" applyFont="1" applyFill="1" applyBorder="1" applyAlignment="1" applyProtection="1">
      <alignment horizontal="right" vertical="top"/>
      <protection locked="0"/>
    </xf>
    <xf numFmtId="0" fontId="8" fillId="20" borderId="0" xfId="0" applyFont="1" applyFill="1" applyAlignment="1">
      <alignment vertical="top"/>
    </xf>
    <xf numFmtId="0" fontId="8" fillId="20" borderId="0" xfId="0" applyFont="1" applyFill="1" applyAlignment="1">
      <alignment horizontal="left" vertical="top"/>
    </xf>
    <xf numFmtId="10" fontId="18" fillId="0" borderId="23" xfId="2" applyNumberFormat="1" applyFont="1" applyFill="1" applyBorder="1" applyAlignment="1" applyProtection="1">
      <alignment horizontal="right" vertical="top"/>
      <protection locked="0"/>
    </xf>
    <xf numFmtId="0" fontId="46" fillId="3" borderId="1" xfId="0" applyFont="1" applyFill="1" applyBorder="1" applyAlignment="1">
      <alignment horizontal="center" vertical="center"/>
    </xf>
    <xf numFmtId="0" fontId="46" fillId="3" borderId="1" xfId="0" applyFont="1" applyFill="1" applyBorder="1" applyAlignment="1">
      <alignment horizontal="center" vertical="center" wrapText="1"/>
    </xf>
    <xf numFmtId="0" fontId="47" fillId="0" borderId="0" xfId="0" applyFont="1" applyAlignment="1">
      <alignment vertical="top"/>
    </xf>
    <xf numFmtId="0" fontId="47" fillId="0" borderId="0" xfId="0" applyFont="1" applyAlignment="1">
      <alignment horizontal="center" vertical="top"/>
    </xf>
    <xf numFmtId="0" fontId="48" fillId="0" borderId="0" xfId="0" applyFont="1" applyAlignment="1">
      <alignment vertical="top"/>
    </xf>
    <xf numFmtId="0" fontId="47" fillId="0" borderId="0" xfId="0" applyFont="1" applyAlignment="1">
      <alignment vertical="top" wrapText="1"/>
    </xf>
    <xf numFmtId="0" fontId="47" fillId="0" borderId="0" xfId="0" applyFont="1" applyAlignment="1">
      <alignment horizontal="left" vertical="top" wrapText="1"/>
    </xf>
    <xf numFmtId="0" fontId="47" fillId="0" borderId="0" xfId="0" applyFont="1" applyAlignment="1">
      <alignment horizontal="left" vertical="top"/>
    </xf>
    <xf numFmtId="0" fontId="48" fillId="0" borderId="0" xfId="0" applyFont="1" applyAlignment="1">
      <alignment horizontal="left" vertical="top"/>
    </xf>
    <xf numFmtId="14" fontId="47" fillId="0" borderId="0" xfId="0" applyNumberFormat="1" applyFont="1" applyAlignment="1">
      <alignment horizontal="left" vertical="top" wrapText="1"/>
    </xf>
    <xf numFmtId="0" fontId="47" fillId="0" borderId="0" xfId="0" applyFont="1"/>
    <xf numFmtId="0" fontId="45" fillId="0" borderId="0" xfId="0" applyFont="1" applyAlignment="1">
      <alignment horizontal="left" vertical="top"/>
    </xf>
    <xf numFmtId="0" fontId="48" fillId="0" borderId="0" xfId="0" applyFont="1" applyAlignment="1">
      <alignment horizontal="left" vertical="top" wrapText="1"/>
    </xf>
    <xf numFmtId="0" fontId="50" fillId="8" borderId="17" xfId="1" applyFont="1" applyFill="1" applyBorder="1" applyAlignment="1" applyProtection="1">
      <alignment horizontal="center" vertical="center" wrapText="1"/>
      <protection locked="0"/>
    </xf>
    <xf numFmtId="0" fontId="14" fillId="20" borderId="0" xfId="0" applyFont="1" applyFill="1"/>
    <xf numFmtId="0" fontId="2" fillId="20" borderId="0" xfId="1" applyFill="1" applyBorder="1" applyAlignment="1">
      <alignment horizontal="left" vertical="top"/>
    </xf>
    <xf numFmtId="14" fontId="8" fillId="20" borderId="0" xfId="0" applyNumberFormat="1" applyFont="1" applyFill="1" applyAlignment="1">
      <alignment horizontal="left" vertical="top"/>
    </xf>
    <xf numFmtId="0" fontId="8" fillId="18" borderId="0" xfId="0" applyFont="1" applyFill="1" applyAlignment="1">
      <alignment vertical="top"/>
    </xf>
    <xf numFmtId="0" fontId="8" fillId="18" borderId="0" xfId="0" quotePrefix="1" applyFont="1" applyFill="1" applyAlignment="1">
      <alignment horizontal="left" vertical="top"/>
    </xf>
    <xf numFmtId="0" fontId="8" fillId="18" borderId="0" xfId="0" applyFont="1" applyFill="1" applyAlignment="1">
      <alignment horizontal="left" vertical="top"/>
    </xf>
    <xf numFmtId="0" fontId="52" fillId="0" borderId="0" xfId="0" applyFont="1" applyAlignment="1">
      <alignment vertical="top" wrapText="1"/>
    </xf>
    <xf numFmtId="0" fontId="53" fillId="0" borderId="0" xfId="0" applyFont="1" applyAlignment="1">
      <alignment vertical="top" wrapText="1"/>
    </xf>
    <xf numFmtId="14" fontId="7" fillId="0" borderId="10" xfId="0" applyNumberFormat="1" applyFont="1" applyBorder="1"/>
    <xf numFmtId="0" fontId="7" fillId="0" borderId="10" xfId="0" applyFont="1" applyBorder="1"/>
    <xf numFmtId="14" fontId="7" fillId="0" borderId="31" xfId="0" applyNumberFormat="1" applyFont="1" applyBorder="1"/>
    <xf numFmtId="0" fontId="7" fillId="0" borderId="31" xfId="0" applyFont="1" applyBorder="1"/>
    <xf numFmtId="0" fontId="54" fillId="0" borderId="0" xfId="0" applyFont="1" applyAlignment="1">
      <alignment vertical="top" wrapText="1"/>
    </xf>
    <xf numFmtId="10" fontId="39" fillId="16" borderId="23" xfId="2" applyNumberFormat="1" applyFont="1" applyFill="1" applyBorder="1" applyAlignment="1" applyProtection="1">
      <alignment horizontal="right" vertical="top"/>
      <protection locked="0"/>
    </xf>
    <xf numFmtId="10" fontId="7" fillId="0" borderId="0" xfId="0" applyNumberFormat="1" applyFont="1"/>
    <xf numFmtId="0" fontId="57" fillId="0" borderId="0" xfId="0" applyFont="1" applyAlignment="1">
      <alignment horizontal="left" vertical="center"/>
    </xf>
    <xf numFmtId="0" fontId="7" fillId="0" borderId="7" xfId="0" applyFont="1" applyBorder="1"/>
    <xf numFmtId="2" fontId="7" fillId="0" borderId="0" xfId="0" applyNumberFormat="1" applyFont="1"/>
    <xf numFmtId="2" fontId="7" fillId="0" borderId="10" xfId="0" applyNumberFormat="1" applyFont="1" applyBorder="1"/>
    <xf numFmtId="10" fontId="58" fillId="0" borderId="10" xfId="0" applyNumberFormat="1" applyFont="1" applyBorder="1"/>
    <xf numFmtId="2" fontId="7" fillId="0" borderId="31" xfId="0" applyNumberFormat="1" applyFont="1" applyBorder="1"/>
    <xf numFmtId="10" fontId="58" fillId="0" borderId="31" xfId="0" applyNumberFormat="1" applyFont="1" applyBorder="1"/>
    <xf numFmtId="0" fontId="41" fillId="16" borderId="0" xfId="0" applyFont="1" applyFill="1" applyAlignment="1">
      <alignment horizontal="left" vertical="center"/>
    </xf>
    <xf numFmtId="10" fontId="18" fillId="21" borderId="23" xfId="2" applyNumberFormat="1" applyFont="1" applyFill="1" applyBorder="1" applyAlignment="1" applyProtection="1">
      <alignment horizontal="right" vertical="top"/>
      <protection locked="0"/>
    </xf>
    <xf numFmtId="10" fontId="39" fillId="21" borderId="23" xfId="2" applyNumberFormat="1" applyFont="1" applyFill="1" applyBorder="1" applyAlignment="1" applyProtection="1">
      <alignment horizontal="right" vertical="top"/>
      <protection locked="0"/>
    </xf>
    <xf numFmtId="0" fontId="43" fillId="18" borderId="28" xfId="0" applyFont="1" applyFill="1" applyBorder="1" applyAlignment="1">
      <alignment horizontal="left" vertical="center"/>
    </xf>
    <xf numFmtId="0" fontId="7" fillId="0" borderId="18" xfId="0" applyFont="1" applyBorder="1" applyAlignment="1" applyProtection="1">
      <alignment horizontal="left" vertical="top" wrapText="1"/>
      <protection locked="0"/>
    </xf>
    <xf numFmtId="0" fontId="7" fillId="0" borderId="18" xfId="0" applyFont="1" applyBorder="1" applyAlignment="1" applyProtection="1">
      <alignment horizontal="left" vertical="center" wrapText="1"/>
      <protection locked="0"/>
    </xf>
    <xf numFmtId="0" fontId="37" fillId="19" borderId="22" xfId="1" applyFont="1" applyFill="1" applyBorder="1" applyAlignment="1">
      <alignment vertical="center"/>
    </xf>
    <xf numFmtId="0" fontId="0" fillId="19" borderId="22" xfId="0" applyFill="1" applyBorder="1" applyAlignment="1">
      <alignment vertical="center"/>
    </xf>
    <xf numFmtId="0" fontId="28" fillId="19" borderId="19" xfId="0" applyFont="1" applyFill="1" applyBorder="1" applyAlignment="1">
      <alignment horizontal="center" vertical="center"/>
    </xf>
    <xf numFmtId="0" fontId="28" fillId="19" borderId="20" xfId="0" applyFont="1" applyFill="1" applyBorder="1" applyAlignment="1">
      <alignment horizontal="center" vertical="center"/>
    </xf>
    <xf numFmtId="0" fontId="28" fillId="19" borderId="21" xfId="0" applyFont="1" applyFill="1" applyBorder="1" applyAlignment="1">
      <alignment horizontal="center" vertical="center"/>
    </xf>
    <xf numFmtId="0" fontId="28" fillId="19" borderId="22" xfId="0" applyFont="1" applyFill="1" applyBorder="1" applyAlignment="1">
      <alignment horizontal="center" vertical="center"/>
    </xf>
    <xf numFmtId="0" fontId="44" fillId="19" borderId="20" xfId="1" applyFont="1" applyFill="1" applyBorder="1" applyAlignment="1">
      <alignment horizontal="right"/>
    </xf>
    <xf numFmtId="0" fontId="0" fillId="19" borderId="20" xfId="0" applyFill="1" applyBorder="1" applyAlignment="1">
      <alignment horizontal="right"/>
    </xf>
    <xf numFmtId="0" fontId="51" fillId="0" borderId="0" xfId="0" applyFont="1" applyAlignment="1">
      <alignment horizontal="left" vertical="top" wrapText="1"/>
    </xf>
    <xf numFmtId="0" fontId="21" fillId="0" borderId="0" xfId="0" applyFont="1" applyAlignment="1">
      <alignment horizontal="left" vertical="top" wrapText="1"/>
    </xf>
    <xf numFmtId="0" fontId="27" fillId="14" borderId="0" xfId="0" applyFont="1" applyFill="1" applyAlignment="1">
      <alignment horizontal="left" vertical="top" wrapText="1"/>
    </xf>
    <xf numFmtId="0" fontId="42" fillId="18" borderId="26" xfId="0" applyFont="1" applyFill="1" applyBorder="1" applyAlignment="1">
      <alignment horizontal="left" vertical="center" wrapText="1"/>
    </xf>
    <xf numFmtId="0" fontId="42" fillId="18" borderId="27" xfId="0" applyFont="1" applyFill="1" applyBorder="1" applyAlignment="1">
      <alignment horizontal="left" vertical="center"/>
    </xf>
    <xf numFmtId="0" fontId="42" fillId="18" borderId="28" xfId="0" applyFont="1" applyFill="1" applyBorder="1" applyAlignment="1">
      <alignment horizontal="left" vertical="center"/>
    </xf>
    <xf numFmtId="0" fontId="41" fillId="16" borderId="0" xfId="0" applyFont="1" applyFill="1" applyAlignment="1">
      <alignment horizontal="left" vertical="center"/>
    </xf>
    <xf numFmtId="10" fontId="17" fillId="8" borderId="3" xfId="0" applyNumberFormat="1" applyFont="1" applyFill="1" applyBorder="1" applyAlignment="1">
      <alignment horizontal="center" vertical="center" wrapText="1"/>
    </xf>
    <xf numFmtId="10" fontId="17" fillId="17" borderId="3" xfId="0" applyNumberFormat="1" applyFont="1" applyFill="1" applyBorder="1" applyAlignment="1">
      <alignment horizontal="center" vertical="center" wrapText="1"/>
    </xf>
    <xf numFmtId="0" fontId="34" fillId="16" borderId="0" xfId="0" applyFont="1" applyFill="1" applyAlignment="1">
      <alignment horizontal="center" wrapText="1"/>
    </xf>
    <xf numFmtId="176" fontId="17" fillId="8" borderId="2" xfId="0" applyNumberFormat="1" applyFont="1" applyFill="1" applyBorder="1" applyAlignment="1">
      <alignment horizontal="center" vertical="center"/>
    </xf>
    <xf numFmtId="176" fontId="17" fillId="17" borderId="2" xfId="0" applyNumberFormat="1" applyFont="1" applyFill="1" applyBorder="1" applyAlignment="1">
      <alignment horizontal="center" vertical="center"/>
    </xf>
    <xf numFmtId="14" fontId="17" fillId="8" borderId="2" xfId="0" applyNumberFormat="1" applyFont="1" applyFill="1" applyBorder="1" applyAlignment="1">
      <alignment horizontal="center" vertical="center"/>
    </xf>
    <xf numFmtId="14" fontId="17" fillId="17" borderId="2" xfId="0" applyNumberFormat="1" applyFont="1" applyFill="1" applyBorder="1" applyAlignment="1">
      <alignment horizontal="center" vertical="center"/>
    </xf>
    <xf numFmtId="0" fontId="17" fillId="8" borderId="2" xfId="0" applyFont="1" applyFill="1" applyBorder="1" applyAlignment="1">
      <alignment horizontal="center" vertical="center"/>
    </xf>
    <xf numFmtId="0" fontId="17" fillId="17" borderId="2" xfId="0" applyFont="1" applyFill="1" applyBorder="1" applyAlignment="1">
      <alignment horizontal="center" vertical="center"/>
    </xf>
    <xf numFmtId="178" fontId="17" fillId="18" borderId="2" xfId="0" applyNumberFormat="1" applyFont="1" applyFill="1" applyBorder="1" applyAlignment="1">
      <alignment horizontal="center" vertical="center" wrapText="1"/>
    </xf>
    <xf numFmtId="178" fontId="17" fillId="10" borderId="2" xfId="0" applyNumberFormat="1" applyFont="1" applyFill="1" applyBorder="1" applyAlignment="1">
      <alignment horizontal="center" vertical="center" wrapText="1"/>
    </xf>
    <xf numFmtId="177" fontId="17" fillId="18" borderId="2" xfId="0" applyNumberFormat="1" applyFont="1" applyFill="1" applyBorder="1" applyAlignment="1">
      <alignment horizontal="center" vertical="center" wrapText="1"/>
    </xf>
    <xf numFmtId="177" fontId="17" fillId="17" borderId="2" xfId="0" applyNumberFormat="1" applyFont="1" applyFill="1" applyBorder="1" applyAlignment="1">
      <alignment horizontal="center" vertical="center" wrapText="1"/>
    </xf>
    <xf numFmtId="1" fontId="17" fillId="18" borderId="2" xfId="0" applyNumberFormat="1" applyFont="1" applyFill="1" applyBorder="1" applyAlignment="1">
      <alignment horizontal="center" vertical="center" wrapText="1"/>
    </xf>
    <xf numFmtId="1" fontId="17" fillId="17" borderId="2" xfId="0" applyNumberFormat="1" applyFont="1" applyFill="1" applyBorder="1" applyAlignment="1">
      <alignment horizontal="center" vertical="center" wrapText="1"/>
    </xf>
    <xf numFmtId="178" fontId="17" fillId="18" borderId="2" xfId="0" applyNumberFormat="1" applyFont="1" applyFill="1" applyBorder="1" applyAlignment="1">
      <alignment horizontal="center" vertical="top" wrapText="1"/>
    </xf>
    <xf numFmtId="178" fontId="17" fillId="10" borderId="2" xfId="0" applyNumberFormat="1" applyFont="1" applyFill="1" applyBorder="1" applyAlignment="1">
      <alignment horizontal="center" vertical="top" wrapText="1"/>
    </xf>
    <xf numFmtId="14" fontId="17" fillId="8" borderId="2" xfId="0" applyNumberFormat="1" applyFont="1" applyFill="1" applyBorder="1" applyAlignment="1">
      <alignment horizontal="center" vertical="center" wrapText="1"/>
    </xf>
    <xf numFmtId="10" fontId="17" fillId="18" borderId="2" xfId="0" applyNumberFormat="1" applyFont="1" applyFill="1" applyBorder="1" applyAlignment="1">
      <alignment horizontal="center" vertical="center" wrapText="1"/>
    </xf>
    <xf numFmtId="10" fontId="17" fillId="10" borderId="2" xfId="0" applyNumberFormat="1" applyFont="1" applyFill="1" applyBorder="1" applyAlignment="1">
      <alignment horizontal="center" vertical="center" wrapText="1"/>
    </xf>
    <xf numFmtId="0" fontId="17" fillId="15" borderId="1" xfId="0" applyFont="1" applyFill="1" applyBorder="1" applyAlignment="1">
      <alignment horizontal="center" vertical="center" wrapText="1"/>
    </xf>
    <xf numFmtId="0" fontId="17" fillId="15" borderId="0" xfId="0" applyFont="1" applyFill="1" applyAlignment="1">
      <alignment horizontal="center" vertical="center" wrapText="1"/>
    </xf>
    <xf numFmtId="0" fontId="17" fillId="15" borderId="2" xfId="0" applyFont="1" applyFill="1" applyBorder="1" applyAlignment="1">
      <alignment horizontal="center" vertical="center"/>
    </xf>
    <xf numFmtId="0" fontId="17" fillId="15" borderId="16" xfId="0" applyFont="1" applyFill="1" applyBorder="1" applyAlignment="1">
      <alignment horizontal="center" vertical="center"/>
    </xf>
    <xf numFmtId="0" fontId="17" fillId="15" borderId="2" xfId="0" applyFont="1" applyFill="1" applyBorder="1" applyAlignment="1">
      <alignment horizontal="center" vertical="center" wrapText="1"/>
    </xf>
    <xf numFmtId="0" fontId="17" fillId="18" borderId="2" xfId="0" applyFont="1" applyFill="1" applyBorder="1" applyAlignment="1">
      <alignment horizontal="center" vertical="center"/>
    </xf>
    <xf numFmtId="0" fontId="17" fillId="8" borderId="3" xfId="0" applyFont="1" applyFill="1" applyBorder="1" applyAlignment="1">
      <alignment horizontal="center" vertical="center"/>
    </xf>
    <xf numFmtId="0" fontId="17" fillId="17" borderId="0" xfId="0" applyFont="1" applyFill="1" applyAlignment="1">
      <alignment horizontal="center" vertical="center"/>
    </xf>
    <xf numFmtId="0" fontId="17" fillId="17" borderId="3" xfId="0" applyFont="1" applyFill="1" applyBorder="1" applyAlignment="1">
      <alignment horizontal="center" vertical="center"/>
    </xf>
    <xf numFmtId="0" fontId="8" fillId="0" borderId="0" xfId="0" applyFont="1" applyAlignment="1" applyProtection="1">
      <alignment horizontal="left" vertical="center" wrapText="1"/>
      <protection locked="0"/>
    </xf>
    <xf numFmtId="0" fontId="8" fillId="0" borderId="0" xfId="0" applyFont="1" applyAlignment="1" applyProtection="1">
      <alignment horizontal="left" vertical="center"/>
      <protection locked="0"/>
    </xf>
    <xf numFmtId="0" fontId="5" fillId="0" borderId="0" xfId="0" applyFont="1" applyAlignment="1">
      <alignment horizontal="left" vertical="center"/>
    </xf>
    <xf numFmtId="0" fontId="4" fillId="0" borderId="0" xfId="0" applyFont="1" applyAlignment="1">
      <alignment horizontal="left" vertical="center"/>
    </xf>
    <xf numFmtId="14" fontId="9" fillId="2" borderId="0" xfId="0" applyNumberFormat="1" applyFont="1" applyFill="1" applyAlignment="1">
      <alignment horizontal="right" vertical="center"/>
    </xf>
    <xf numFmtId="0" fontId="20" fillId="0" borderId="0" xfId="0" applyFont="1" applyAlignment="1" applyProtection="1">
      <alignment horizontal="left" vertical="center" wrapText="1"/>
      <protection locked="0"/>
    </xf>
    <xf numFmtId="10" fontId="7" fillId="5" borderId="3" xfId="0" applyNumberFormat="1" applyFont="1" applyFill="1" applyBorder="1" applyAlignment="1">
      <alignment horizontal="left" wrapText="1"/>
    </xf>
    <xf numFmtId="10" fontId="7" fillId="0" borderId="0" xfId="0" applyNumberFormat="1" applyFont="1"/>
    <xf numFmtId="14" fontId="7" fillId="2" borderId="0" xfId="0" applyNumberFormat="1" applyFont="1" applyFill="1" applyAlignment="1">
      <alignment horizontal="left" vertical="top" wrapText="1"/>
    </xf>
    <xf numFmtId="14" fontId="12" fillId="6" borderId="14" xfId="0" applyNumberFormat="1" applyFont="1" applyFill="1" applyBorder="1" applyAlignment="1" applyProtection="1">
      <alignment horizontal="center" vertical="center"/>
      <protection locked="0"/>
    </xf>
  </cellXfs>
  <cellStyles count="3">
    <cellStyle name="백분율" xfId="2" builtinId="5"/>
    <cellStyle name="표준" xfId="0" builtinId="0"/>
    <cellStyle name="하이퍼링크" xfId="1" builtinId="8"/>
  </cellStyles>
  <dxfs count="5">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0000FF"/>
      <color rgb="FF009900"/>
      <color rgb="FF11EFAA"/>
      <color rgb="FFF8F8F8"/>
      <color rgb="FFFF3300"/>
      <color rgb="FFFF0000"/>
      <color rgb="FF2592FF"/>
      <color rgb="FF66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143" name="연결선: 꺾임 142">
          <a:extLst>
            <a:ext uri="{FF2B5EF4-FFF2-40B4-BE49-F238E27FC236}">
              <a16:creationId xmlns:a16="http://schemas.microsoft.com/office/drawing/2014/main" id="{63F36FFB-0B32-4E75-AC5F-83ACC93BF37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4" name="연결선: 꺾임 143">
          <a:extLst>
            <a:ext uri="{FF2B5EF4-FFF2-40B4-BE49-F238E27FC236}">
              <a16:creationId xmlns:a16="http://schemas.microsoft.com/office/drawing/2014/main" id="{DD668848-0E9F-4294-88D7-7D15D593739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5" name="연결선: 꺾임 144">
          <a:extLst>
            <a:ext uri="{FF2B5EF4-FFF2-40B4-BE49-F238E27FC236}">
              <a16:creationId xmlns:a16="http://schemas.microsoft.com/office/drawing/2014/main" id="{7DBCD8EC-7E8A-4A9A-B9FB-E2EC490E2A0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6" name="연결선: 꺾임 145">
          <a:extLst>
            <a:ext uri="{FF2B5EF4-FFF2-40B4-BE49-F238E27FC236}">
              <a16:creationId xmlns:a16="http://schemas.microsoft.com/office/drawing/2014/main" id="{C1D1C9C4-36DB-4D88-9588-303DF593023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7" name="연결선: 꺾임 146">
          <a:extLst>
            <a:ext uri="{FF2B5EF4-FFF2-40B4-BE49-F238E27FC236}">
              <a16:creationId xmlns:a16="http://schemas.microsoft.com/office/drawing/2014/main" id="{D5808208-6C98-4965-8F19-F257AE71CC46}"/>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8" name="연결선: 꺾임 147">
          <a:extLst>
            <a:ext uri="{FF2B5EF4-FFF2-40B4-BE49-F238E27FC236}">
              <a16:creationId xmlns:a16="http://schemas.microsoft.com/office/drawing/2014/main" id="{788EBC59-244A-4E3E-B0B8-7EC913E6B37B}"/>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9" name="연결선: 꺾임 148">
          <a:extLst>
            <a:ext uri="{FF2B5EF4-FFF2-40B4-BE49-F238E27FC236}">
              <a16:creationId xmlns:a16="http://schemas.microsoft.com/office/drawing/2014/main" id="{E7952225-22AC-4B22-ADD2-8ABC77A8B845}"/>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0" name="연결선: 꺾임 149">
          <a:extLst>
            <a:ext uri="{FF2B5EF4-FFF2-40B4-BE49-F238E27FC236}">
              <a16:creationId xmlns:a16="http://schemas.microsoft.com/office/drawing/2014/main" id="{9C336110-3DB1-4749-9C10-2FD66C8EA7BE}"/>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1" name="연결선: 꺾임 150">
          <a:extLst>
            <a:ext uri="{FF2B5EF4-FFF2-40B4-BE49-F238E27FC236}">
              <a16:creationId xmlns:a16="http://schemas.microsoft.com/office/drawing/2014/main" id="{18149BBD-6FC9-418F-B41E-6B08409D5B9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2" name="연결선: 꺾임 151">
          <a:extLst>
            <a:ext uri="{FF2B5EF4-FFF2-40B4-BE49-F238E27FC236}">
              <a16:creationId xmlns:a16="http://schemas.microsoft.com/office/drawing/2014/main" id="{A3B1378F-3F18-4343-AA3D-ED8437ED4B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3" name="연결선: 꺾임 152">
          <a:extLst>
            <a:ext uri="{FF2B5EF4-FFF2-40B4-BE49-F238E27FC236}">
              <a16:creationId xmlns:a16="http://schemas.microsoft.com/office/drawing/2014/main" id="{A18660C0-A969-4204-ADFE-C566E40E9F1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4" name="연결선: 꺾임 153">
          <a:extLst>
            <a:ext uri="{FF2B5EF4-FFF2-40B4-BE49-F238E27FC236}">
              <a16:creationId xmlns:a16="http://schemas.microsoft.com/office/drawing/2014/main" id="{E1E16F24-0DEA-432C-887F-8AF5D2B17173}"/>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5" name="연결선: 꺾임 154">
          <a:extLst>
            <a:ext uri="{FF2B5EF4-FFF2-40B4-BE49-F238E27FC236}">
              <a16:creationId xmlns:a16="http://schemas.microsoft.com/office/drawing/2014/main" id="{7B151077-CBA5-444D-8D41-E92FA97349FF}"/>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6" name="연결선: 꺾임 155">
          <a:extLst>
            <a:ext uri="{FF2B5EF4-FFF2-40B4-BE49-F238E27FC236}">
              <a16:creationId xmlns:a16="http://schemas.microsoft.com/office/drawing/2014/main" id="{C94AFDB9-B0CC-4E51-BCC5-865B0A854B7A}"/>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7" name="연결선: 꺾임 156">
          <a:extLst>
            <a:ext uri="{FF2B5EF4-FFF2-40B4-BE49-F238E27FC236}">
              <a16:creationId xmlns:a16="http://schemas.microsoft.com/office/drawing/2014/main" id="{C24BF470-032F-4EB5-8394-AB7B9E858B98}"/>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8" name="연결선: 꺾임 157">
          <a:extLst>
            <a:ext uri="{FF2B5EF4-FFF2-40B4-BE49-F238E27FC236}">
              <a16:creationId xmlns:a16="http://schemas.microsoft.com/office/drawing/2014/main" id="{2464185D-BD02-4748-B3C8-D81875FFFB5C}"/>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9" name="연결선: 꺾임 158">
          <a:extLst>
            <a:ext uri="{FF2B5EF4-FFF2-40B4-BE49-F238E27FC236}">
              <a16:creationId xmlns:a16="http://schemas.microsoft.com/office/drawing/2014/main" id="{F83EECF1-F0E9-42F9-8532-09CC15A4EA70}"/>
            </a:ext>
          </a:extLst>
        </xdr:cNvPr>
        <xdr:cNvCxnSpPr/>
      </xdr:nvCxnSpPr>
      <xdr:spPr>
        <a:xfrm>
          <a:off x="12700" y="12700"/>
          <a:ext cx="0" cy="0"/>
        </a:xfrm>
        <a:prstGeom prst="bentConnector3">
          <a:avLst/>
        </a:prstGeom>
        <a:ln>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0" name="연결선: 꺾임 159">
          <a:extLst>
            <a:ext uri="{FF2B5EF4-FFF2-40B4-BE49-F238E27FC236}">
              <a16:creationId xmlns:a16="http://schemas.microsoft.com/office/drawing/2014/main" id="{59597519-903C-4A1D-BCFF-ABF8535AF5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1" name="연결선: 꺾임 160">
          <a:extLst>
            <a:ext uri="{FF2B5EF4-FFF2-40B4-BE49-F238E27FC236}">
              <a16:creationId xmlns:a16="http://schemas.microsoft.com/office/drawing/2014/main" id="{ADE04D6B-DD2C-425B-A0AD-3AFC4E6199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2" name="연결선: 꺾임 161">
          <a:extLst>
            <a:ext uri="{FF2B5EF4-FFF2-40B4-BE49-F238E27FC236}">
              <a16:creationId xmlns:a16="http://schemas.microsoft.com/office/drawing/2014/main" id="{AD420273-C17F-42B8-9B2D-05DDD4F72C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3" name="연결선: 꺾임 162">
          <a:extLst>
            <a:ext uri="{FF2B5EF4-FFF2-40B4-BE49-F238E27FC236}">
              <a16:creationId xmlns:a16="http://schemas.microsoft.com/office/drawing/2014/main" id="{B5C38DD8-6652-440C-8F36-601A23FE6E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4" name="연결선: 꺾임 163">
          <a:extLst>
            <a:ext uri="{FF2B5EF4-FFF2-40B4-BE49-F238E27FC236}">
              <a16:creationId xmlns:a16="http://schemas.microsoft.com/office/drawing/2014/main" id="{9DDBA778-6BF9-46AA-A257-791E367666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5" name="연결선: 꺾임 164">
          <a:extLst>
            <a:ext uri="{FF2B5EF4-FFF2-40B4-BE49-F238E27FC236}">
              <a16:creationId xmlns:a16="http://schemas.microsoft.com/office/drawing/2014/main" id="{9C26F931-EA04-438C-AF57-D8F5D6E6EB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6" name="연결선: 꺾임 165">
          <a:extLst>
            <a:ext uri="{FF2B5EF4-FFF2-40B4-BE49-F238E27FC236}">
              <a16:creationId xmlns:a16="http://schemas.microsoft.com/office/drawing/2014/main" id="{6FAA1722-890C-4429-BFE0-B5FB26D944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7" name="연결선: 꺾임 166">
          <a:extLst>
            <a:ext uri="{FF2B5EF4-FFF2-40B4-BE49-F238E27FC236}">
              <a16:creationId xmlns:a16="http://schemas.microsoft.com/office/drawing/2014/main" id="{997B68C5-AAE1-419D-B5F2-FFEF01EDF6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8" name="연결선: 꺾임 167">
          <a:extLst>
            <a:ext uri="{FF2B5EF4-FFF2-40B4-BE49-F238E27FC236}">
              <a16:creationId xmlns:a16="http://schemas.microsoft.com/office/drawing/2014/main" id="{613B3C47-6AE5-4C05-AA06-CB2D3B2622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9" name="연결선: 꺾임 168">
          <a:extLst>
            <a:ext uri="{FF2B5EF4-FFF2-40B4-BE49-F238E27FC236}">
              <a16:creationId xmlns:a16="http://schemas.microsoft.com/office/drawing/2014/main" id="{B19F73FB-13FA-4B3B-B2BE-3994BC65FB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0" name="연결선: 꺾임 169">
          <a:extLst>
            <a:ext uri="{FF2B5EF4-FFF2-40B4-BE49-F238E27FC236}">
              <a16:creationId xmlns:a16="http://schemas.microsoft.com/office/drawing/2014/main" id="{96A4B329-4DE7-4602-9E44-8897A98E00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1" name="연결선: 꺾임 170">
          <a:extLst>
            <a:ext uri="{FF2B5EF4-FFF2-40B4-BE49-F238E27FC236}">
              <a16:creationId xmlns:a16="http://schemas.microsoft.com/office/drawing/2014/main" id="{7AA10977-F7F0-4F1D-B667-4A58ECED73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2" name="연결선: 꺾임 171">
          <a:extLst>
            <a:ext uri="{FF2B5EF4-FFF2-40B4-BE49-F238E27FC236}">
              <a16:creationId xmlns:a16="http://schemas.microsoft.com/office/drawing/2014/main" id="{94B6D560-0B52-4E48-9508-9C9C0E9D1C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3" name="연결선: 꺾임 172">
          <a:extLst>
            <a:ext uri="{FF2B5EF4-FFF2-40B4-BE49-F238E27FC236}">
              <a16:creationId xmlns:a16="http://schemas.microsoft.com/office/drawing/2014/main" id="{7258F5BC-E2A7-44D0-AA13-C2A0F2F157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4" name="연결선: 꺾임 173">
          <a:extLst>
            <a:ext uri="{FF2B5EF4-FFF2-40B4-BE49-F238E27FC236}">
              <a16:creationId xmlns:a16="http://schemas.microsoft.com/office/drawing/2014/main" id="{1FCC178D-29A1-4891-82E4-62336245E0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5" name="연결선: 꺾임 174">
          <a:extLst>
            <a:ext uri="{FF2B5EF4-FFF2-40B4-BE49-F238E27FC236}">
              <a16:creationId xmlns:a16="http://schemas.microsoft.com/office/drawing/2014/main" id="{D71FD233-4562-462C-BAE8-6EE48657F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6" name="연결선: 꺾임 175">
          <a:extLst>
            <a:ext uri="{FF2B5EF4-FFF2-40B4-BE49-F238E27FC236}">
              <a16:creationId xmlns:a16="http://schemas.microsoft.com/office/drawing/2014/main" id="{BAACCEF7-D031-47DC-A927-8121D904D1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7" name="연결선: 꺾임 176">
          <a:extLst>
            <a:ext uri="{FF2B5EF4-FFF2-40B4-BE49-F238E27FC236}">
              <a16:creationId xmlns:a16="http://schemas.microsoft.com/office/drawing/2014/main" id="{1EFAC44B-F456-4E80-B352-F1B2FC38DA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8" name="연결선: 꺾임 177">
          <a:extLst>
            <a:ext uri="{FF2B5EF4-FFF2-40B4-BE49-F238E27FC236}">
              <a16:creationId xmlns:a16="http://schemas.microsoft.com/office/drawing/2014/main" id="{B1AA5FEB-4C06-4683-9F34-0670F66C7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 name="연결선: 꺾임 178">
          <a:extLst>
            <a:ext uri="{FF2B5EF4-FFF2-40B4-BE49-F238E27FC236}">
              <a16:creationId xmlns:a16="http://schemas.microsoft.com/office/drawing/2014/main" id="{61FCCA01-9521-465F-BBFB-C5907E1B21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 name="연결선: 꺾임 179">
          <a:extLst>
            <a:ext uri="{FF2B5EF4-FFF2-40B4-BE49-F238E27FC236}">
              <a16:creationId xmlns:a16="http://schemas.microsoft.com/office/drawing/2014/main" id="{1198F6D1-8503-454C-A1CE-5E29887F7C4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 name="연결선: 꺾임 180">
          <a:extLst>
            <a:ext uri="{FF2B5EF4-FFF2-40B4-BE49-F238E27FC236}">
              <a16:creationId xmlns:a16="http://schemas.microsoft.com/office/drawing/2014/main" id="{A7917038-9D24-482F-B847-B03DD5DE71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 name="연결선: 꺾임 181">
          <a:extLst>
            <a:ext uri="{FF2B5EF4-FFF2-40B4-BE49-F238E27FC236}">
              <a16:creationId xmlns:a16="http://schemas.microsoft.com/office/drawing/2014/main" id="{4D7E4032-5BDA-4668-B587-368DD418CD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 name="연결선: 꺾임 182">
          <a:extLst>
            <a:ext uri="{FF2B5EF4-FFF2-40B4-BE49-F238E27FC236}">
              <a16:creationId xmlns:a16="http://schemas.microsoft.com/office/drawing/2014/main" id="{600E6FAF-0430-49ED-96A2-27CC1D9B09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 name="연결선: 꺾임 183">
          <a:extLst>
            <a:ext uri="{FF2B5EF4-FFF2-40B4-BE49-F238E27FC236}">
              <a16:creationId xmlns:a16="http://schemas.microsoft.com/office/drawing/2014/main" id="{F971A612-C661-407D-B526-33296E46EA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 name="연결선: 꺾임 184">
          <a:extLst>
            <a:ext uri="{FF2B5EF4-FFF2-40B4-BE49-F238E27FC236}">
              <a16:creationId xmlns:a16="http://schemas.microsoft.com/office/drawing/2014/main" id="{A08790F9-711C-4C19-9373-1EF92F3513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6" name="연결선: 꺾임 185">
          <a:extLst>
            <a:ext uri="{FF2B5EF4-FFF2-40B4-BE49-F238E27FC236}">
              <a16:creationId xmlns:a16="http://schemas.microsoft.com/office/drawing/2014/main" id="{53D511DD-1007-492A-8B15-23FE8C8726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7" name="연결선: 꺾임 186">
          <a:extLst>
            <a:ext uri="{FF2B5EF4-FFF2-40B4-BE49-F238E27FC236}">
              <a16:creationId xmlns:a16="http://schemas.microsoft.com/office/drawing/2014/main" id="{414B641A-670C-4E5E-97E9-9AED92C411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8" name="연결선: 꺾임 187">
          <a:extLst>
            <a:ext uri="{FF2B5EF4-FFF2-40B4-BE49-F238E27FC236}">
              <a16:creationId xmlns:a16="http://schemas.microsoft.com/office/drawing/2014/main" id="{F43D79E7-9206-4DBA-B2B0-1F2C2B9F0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9" name="연결선: 꺾임 188">
          <a:extLst>
            <a:ext uri="{FF2B5EF4-FFF2-40B4-BE49-F238E27FC236}">
              <a16:creationId xmlns:a16="http://schemas.microsoft.com/office/drawing/2014/main" id="{AEF4946E-DE08-428C-8D50-FD93DF0E8D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0" name="연결선: 꺾임 189">
          <a:extLst>
            <a:ext uri="{FF2B5EF4-FFF2-40B4-BE49-F238E27FC236}">
              <a16:creationId xmlns:a16="http://schemas.microsoft.com/office/drawing/2014/main" id="{28EF465F-DE90-4E7F-AE0C-8EB17B7EC8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1" name="연결선: 꺾임 190">
          <a:extLst>
            <a:ext uri="{FF2B5EF4-FFF2-40B4-BE49-F238E27FC236}">
              <a16:creationId xmlns:a16="http://schemas.microsoft.com/office/drawing/2014/main" id="{70710D1F-8131-46F0-BF37-E78266C2B9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2" name="연결선: 꺾임 191">
          <a:extLst>
            <a:ext uri="{FF2B5EF4-FFF2-40B4-BE49-F238E27FC236}">
              <a16:creationId xmlns:a16="http://schemas.microsoft.com/office/drawing/2014/main" id="{FD47F098-FF55-41C5-AAAE-2FA984BE99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3" name="연결선: 꺾임 192">
          <a:extLst>
            <a:ext uri="{FF2B5EF4-FFF2-40B4-BE49-F238E27FC236}">
              <a16:creationId xmlns:a16="http://schemas.microsoft.com/office/drawing/2014/main" id="{B516718D-43D4-4025-8876-E106FCC6E3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4" name="연결선: 꺾임 193">
          <a:extLst>
            <a:ext uri="{FF2B5EF4-FFF2-40B4-BE49-F238E27FC236}">
              <a16:creationId xmlns:a16="http://schemas.microsoft.com/office/drawing/2014/main" id="{FF730DF5-1A3B-4766-8B99-A02FA0F34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5" name="연결선: 꺾임 194">
          <a:extLst>
            <a:ext uri="{FF2B5EF4-FFF2-40B4-BE49-F238E27FC236}">
              <a16:creationId xmlns:a16="http://schemas.microsoft.com/office/drawing/2014/main" id="{98AD065B-7C11-46B8-A38A-83274EEF41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6" name="연결선: 꺾임 195">
          <a:extLst>
            <a:ext uri="{FF2B5EF4-FFF2-40B4-BE49-F238E27FC236}">
              <a16:creationId xmlns:a16="http://schemas.microsoft.com/office/drawing/2014/main" id="{4D60C7D4-C3FA-40ED-BFDD-46276CF30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7" name="연결선: 꺾임 196">
          <a:extLst>
            <a:ext uri="{FF2B5EF4-FFF2-40B4-BE49-F238E27FC236}">
              <a16:creationId xmlns:a16="http://schemas.microsoft.com/office/drawing/2014/main" id="{F93E8DC9-7361-4204-92A6-C1E866DC5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8" name="연결선: 꺾임 197">
          <a:extLst>
            <a:ext uri="{FF2B5EF4-FFF2-40B4-BE49-F238E27FC236}">
              <a16:creationId xmlns:a16="http://schemas.microsoft.com/office/drawing/2014/main" id="{C068A266-349B-4FAF-AA06-C4338E33A34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9" name="연결선: 꺾임 198">
          <a:extLst>
            <a:ext uri="{FF2B5EF4-FFF2-40B4-BE49-F238E27FC236}">
              <a16:creationId xmlns:a16="http://schemas.microsoft.com/office/drawing/2014/main" id="{E9631B7A-C8D8-4AA2-BC79-CB3F8DB86E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0" name="연결선: 꺾임 199">
          <a:extLst>
            <a:ext uri="{FF2B5EF4-FFF2-40B4-BE49-F238E27FC236}">
              <a16:creationId xmlns:a16="http://schemas.microsoft.com/office/drawing/2014/main" id="{75FA18D2-9253-4744-B3B1-37E664F147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1" name="연결선: 꺾임 200">
          <a:extLst>
            <a:ext uri="{FF2B5EF4-FFF2-40B4-BE49-F238E27FC236}">
              <a16:creationId xmlns:a16="http://schemas.microsoft.com/office/drawing/2014/main" id="{FCF9F5DD-C8AA-400D-ABF6-BEC66C35EC5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2" name="연결선: 꺾임 201">
          <a:extLst>
            <a:ext uri="{FF2B5EF4-FFF2-40B4-BE49-F238E27FC236}">
              <a16:creationId xmlns:a16="http://schemas.microsoft.com/office/drawing/2014/main" id="{EC76225B-342B-4240-B344-AFB176DC48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3" name="연결선: 꺾임 202">
          <a:extLst>
            <a:ext uri="{FF2B5EF4-FFF2-40B4-BE49-F238E27FC236}">
              <a16:creationId xmlns:a16="http://schemas.microsoft.com/office/drawing/2014/main" id="{E5D67502-7550-4E25-AA87-691DF2A2C4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4" name="연결선: 꺾임 203">
          <a:extLst>
            <a:ext uri="{FF2B5EF4-FFF2-40B4-BE49-F238E27FC236}">
              <a16:creationId xmlns:a16="http://schemas.microsoft.com/office/drawing/2014/main" id="{9A753F7D-5AF0-4FE3-AB8D-274DC0506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5" name="연결선: 꺾임 204">
          <a:extLst>
            <a:ext uri="{FF2B5EF4-FFF2-40B4-BE49-F238E27FC236}">
              <a16:creationId xmlns:a16="http://schemas.microsoft.com/office/drawing/2014/main" id="{F3AD53D7-3232-4F2B-ADF4-349506C4F40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6" name="연결선: 꺾임 205">
          <a:extLst>
            <a:ext uri="{FF2B5EF4-FFF2-40B4-BE49-F238E27FC236}">
              <a16:creationId xmlns:a16="http://schemas.microsoft.com/office/drawing/2014/main" id="{8F5B3AF8-1811-4437-B36D-F2BB9E4947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7" name="연결선: 꺾임 206">
          <a:extLst>
            <a:ext uri="{FF2B5EF4-FFF2-40B4-BE49-F238E27FC236}">
              <a16:creationId xmlns:a16="http://schemas.microsoft.com/office/drawing/2014/main" id="{FEAB0C88-53ED-4A31-B8ED-7784707375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8" name="연결선: 꺾임 207">
          <a:extLst>
            <a:ext uri="{FF2B5EF4-FFF2-40B4-BE49-F238E27FC236}">
              <a16:creationId xmlns:a16="http://schemas.microsoft.com/office/drawing/2014/main" id="{9094E276-08AC-4274-8F93-3582E7AE92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9" name="연결선: 꺾임 208">
          <a:extLst>
            <a:ext uri="{FF2B5EF4-FFF2-40B4-BE49-F238E27FC236}">
              <a16:creationId xmlns:a16="http://schemas.microsoft.com/office/drawing/2014/main" id="{019A37DF-D000-4298-A46E-8ED420F12F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0" name="연결선: 꺾임 209">
          <a:extLst>
            <a:ext uri="{FF2B5EF4-FFF2-40B4-BE49-F238E27FC236}">
              <a16:creationId xmlns:a16="http://schemas.microsoft.com/office/drawing/2014/main" id="{F316A5D9-26F5-40A2-B098-2D3589B077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1" name="연결선: 꺾임 210">
          <a:extLst>
            <a:ext uri="{FF2B5EF4-FFF2-40B4-BE49-F238E27FC236}">
              <a16:creationId xmlns:a16="http://schemas.microsoft.com/office/drawing/2014/main" id="{293D604C-05C8-4B71-9589-FC135130716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2" name="연결선: 꺾임 211">
          <a:extLst>
            <a:ext uri="{FF2B5EF4-FFF2-40B4-BE49-F238E27FC236}">
              <a16:creationId xmlns:a16="http://schemas.microsoft.com/office/drawing/2014/main" id="{01E86E51-F7E2-43B8-A713-E992C8C0D7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3" name="연결선: 꺾임 212">
          <a:extLst>
            <a:ext uri="{FF2B5EF4-FFF2-40B4-BE49-F238E27FC236}">
              <a16:creationId xmlns:a16="http://schemas.microsoft.com/office/drawing/2014/main" id="{F28E8BF3-69D4-4193-A7C2-62BFD56774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4" name="연결선: 꺾임 213">
          <a:extLst>
            <a:ext uri="{FF2B5EF4-FFF2-40B4-BE49-F238E27FC236}">
              <a16:creationId xmlns:a16="http://schemas.microsoft.com/office/drawing/2014/main" id="{95C84EE7-44BB-4CEC-8CAE-779F3B0B7D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5" name="연결선: 꺾임 214">
          <a:extLst>
            <a:ext uri="{FF2B5EF4-FFF2-40B4-BE49-F238E27FC236}">
              <a16:creationId xmlns:a16="http://schemas.microsoft.com/office/drawing/2014/main" id="{A0410D4D-2185-436C-B7EB-3DBC4AD4EFB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6" name="연결선: 꺾임 215">
          <a:extLst>
            <a:ext uri="{FF2B5EF4-FFF2-40B4-BE49-F238E27FC236}">
              <a16:creationId xmlns:a16="http://schemas.microsoft.com/office/drawing/2014/main" id="{732E517B-2EFF-4CD8-8856-36CCB4951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7" name="연결선: 꺾임 216">
          <a:extLst>
            <a:ext uri="{FF2B5EF4-FFF2-40B4-BE49-F238E27FC236}">
              <a16:creationId xmlns:a16="http://schemas.microsoft.com/office/drawing/2014/main" id="{E8049D9F-7344-4EC3-8E21-F3FB049DD4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8" name="연결선: 꺾임 217">
          <a:extLst>
            <a:ext uri="{FF2B5EF4-FFF2-40B4-BE49-F238E27FC236}">
              <a16:creationId xmlns:a16="http://schemas.microsoft.com/office/drawing/2014/main" id="{31A193BF-E648-4DAD-9059-86847E76E1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9" name="연결선: 꺾임 218">
          <a:extLst>
            <a:ext uri="{FF2B5EF4-FFF2-40B4-BE49-F238E27FC236}">
              <a16:creationId xmlns:a16="http://schemas.microsoft.com/office/drawing/2014/main" id="{4B2AA20D-1D1B-4659-89FA-D525CD9175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0" name="연결선: 꺾임 219">
          <a:extLst>
            <a:ext uri="{FF2B5EF4-FFF2-40B4-BE49-F238E27FC236}">
              <a16:creationId xmlns:a16="http://schemas.microsoft.com/office/drawing/2014/main" id="{3DAD4410-6383-4E78-A58E-B25309132E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1" name="연결선: 꺾임 220">
          <a:extLst>
            <a:ext uri="{FF2B5EF4-FFF2-40B4-BE49-F238E27FC236}">
              <a16:creationId xmlns:a16="http://schemas.microsoft.com/office/drawing/2014/main" id="{EDC20A80-3EAE-47B3-88EE-BFD28634F8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2" name="연결선: 꺾임 221">
          <a:extLst>
            <a:ext uri="{FF2B5EF4-FFF2-40B4-BE49-F238E27FC236}">
              <a16:creationId xmlns:a16="http://schemas.microsoft.com/office/drawing/2014/main" id="{687D1B1E-E3E9-46BD-863C-F0C833538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3" name="연결선: 꺾임 222">
          <a:extLst>
            <a:ext uri="{FF2B5EF4-FFF2-40B4-BE49-F238E27FC236}">
              <a16:creationId xmlns:a16="http://schemas.microsoft.com/office/drawing/2014/main" id="{B82839D1-B0D5-4EAB-A2D8-62609DFEB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4" name="연결선: 꺾임 223">
          <a:extLst>
            <a:ext uri="{FF2B5EF4-FFF2-40B4-BE49-F238E27FC236}">
              <a16:creationId xmlns:a16="http://schemas.microsoft.com/office/drawing/2014/main" id="{2D8692FE-DFC1-414F-A311-F24F2E65A8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5" name="연결선: 꺾임 224">
          <a:extLst>
            <a:ext uri="{FF2B5EF4-FFF2-40B4-BE49-F238E27FC236}">
              <a16:creationId xmlns:a16="http://schemas.microsoft.com/office/drawing/2014/main" id="{8914E56E-5ECD-4D3E-B7B7-C6027E5F2C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6" name="연결선: 꺾임 225">
          <a:extLst>
            <a:ext uri="{FF2B5EF4-FFF2-40B4-BE49-F238E27FC236}">
              <a16:creationId xmlns:a16="http://schemas.microsoft.com/office/drawing/2014/main" id="{54DBA795-C3E9-431F-BD88-72C3678578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7" name="연결선: 꺾임 226">
          <a:extLst>
            <a:ext uri="{FF2B5EF4-FFF2-40B4-BE49-F238E27FC236}">
              <a16:creationId xmlns:a16="http://schemas.microsoft.com/office/drawing/2014/main" id="{1E7656A4-79FA-4FCF-B4A0-7C7966F425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8" name="연결선: 꺾임 227">
          <a:extLst>
            <a:ext uri="{FF2B5EF4-FFF2-40B4-BE49-F238E27FC236}">
              <a16:creationId xmlns:a16="http://schemas.microsoft.com/office/drawing/2014/main" id="{90A58713-6F87-4381-9566-4CD5C779F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9" name="연결선: 꺾임 228">
          <a:extLst>
            <a:ext uri="{FF2B5EF4-FFF2-40B4-BE49-F238E27FC236}">
              <a16:creationId xmlns:a16="http://schemas.microsoft.com/office/drawing/2014/main" id="{69E292C0-86BE-4E2C-99FB-AB0DA9FB79A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 name="연결선: 꺾임 229">
          <a:extLst>
            <a:ext uri="{FF2B5EF4-FFF2-40B4-BE49-F238E27FC236}">
              <a16:creationId xmlns:a16="http://schemas.microsoft.com/office/drawing/2014/main" id="{88626CA2-6144-4B87-8E6C-263C476815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1" name="연결선: 꺾임 230">
          <a:extLst>
            <a:ext uri="{FF2B5EF4-FFF2-40B4-BE49-F238E27FC236}">
              <a16:creationId xmlns:a16="http://schemas.microsoft.com/office/drawing/2014/main" id="{BADBD111-C1BB-4154-AA9D-A3A36476BD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2" name="연결선: 꺾임 231">
          <a:extLst>
            <a:ext uri="{FF2B5EF4-FFF2-40B4-BE49-F238E27FC236}">
              <a16:creationId xmlns:a16="http://schemas.microsoft.com/office/drawing/2014/main" id="{042CD6A9-F798-4F11-9ED3-2E2B574FA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3" name="연결선: 꺾임 232">
          <a:extLst>
            <a:ext uri="{FF2B5EF4-FFF2-40B4-BE49-F238E27FC236}">
              <a16:creationId xmlns:a16="http://schemas.microsoft.com/office/drawing/2014/main" id="{E436FF10-865D-45C9-9254-2F469F440F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4" name="연결선: 꺾임 233">
          <a:extLst>
            <a:ext uri="{FF2B5EF4-FFF2-40B4-BE49-F238E27FC236}">
              <a16:creationId xmlns:a16="http://schemas.microsoft.com/office/drawing/2014/main" id="{B3BFA687-191E-4C95-884D-B31B52AAD7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5" name="연결선: 꺾임 234">
          <a:extLst>
            <a:ext uri="{FF2B5EF4-FFF2-40B4-BE49-F238E27FC236}">
              <a16:creationId xmlns:a16="http://schemas.microsoft.com/office/drawing/2014/main" id="{7107F834-0405-4630-811B-9E16EFDECE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6" name="연결선: 꺾임 235">
          <a:extLst>
            <a:ext uri="{FF2B5EF4-FFF2-40B4-BE49-F238E27FC236}">
              <a16:creationId xmlns:a16="http://schemas.microsoft.com/office/drawing/2014/main" id="{B6B6F9C6-5105-41A9-A41A-D64C7C263B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7" name="연결선: 꺾임 236">
          <a:extLst>
            <a:ext uri="{FF2B5EF4-FFF2-40B4-BE49-F238E27FC236}">
              <a16:creationId xmlns:a16="http://schemas.microsoft.com/office/drawing/2014/main" id="{A55E8074-314B-4FA3-A011-ABD0EA34EE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8" name="연결선: 꺾임 237">
          <a:extLst>
            <a:ext uri="{FF2B5EF4-FFF2-40B4-BE49-F238E27FC236}">
              <a16:creationId xmlns:a16="http://schemas.microsoft.com/office/drawing/2014/main" id="{8654C2E1-EB42-4158-A0E9-AD09A025EF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9" name="연결선: 꺾임 238">
          <a:extLst>
            <a:ext uri="{FF2B5EF4-FFF2-40B4-BE49-F238E27FC236}">
              <a16:creationId xmlns:a16="http://schemas.microsoft.com/office/drawing/2014/main" id="{9FB14185-5890-4F08-A167-A827057030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0" name="연결선: 꺾임 239">
          <a:extLst>
            <a:ext uri="{FF2B5EF4-FFF2-40B4-BE49-F238E27FC236}">
              <a16:creationId xmlns:a16="http://schemas.microsoft.com/office/drawing/2014/main" id="{A7550B10-01C2-46D1-AF73-79C38F3D90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1" name="연결선: 꺾임 240">
          <a:extLst>
            <a:ext uri="{FF2B5EF4-FFF2-40B4-BE49-F238E27FC236}">
              <a16:creationId xmlns:a16="http://schemas.microsoft.com/office/drawing/2014/main" id="{3CF915F7-5D79-4969-B753-B1E183E9B34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2" name="연결선: 꺾임 241">
          <a:extLst>
            <a:ext uri="{FF2B5EF4-FFF2-40B4-BE49-F238E27FC236}">
              <a16:creationId xmlns:a16="http://schemas.microsoft.com/office/drawing/2014/main" id="{F4B56D6C-0A0A-41DC-BE11-B0AE1C7D7A7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 name="연결선: 꺾임 242">
          <a:extLst>
            <a:ext uri="{FF2B5EF4-FFF2-40B4-BE49-F238E27FC236}">
              <a16:creationId xmlns:a16="http://schemas.microsoft.com/office/drawing/2014/main" id="{E8B24E45-B744-4C87-9814-F064F85F72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 name="연결선: 꺾임 243">
          <a:extLst>
            <a:ext uri="{FF2B5EF4-FFF2-40B4-BE49-F238E27FC236}">
              <a16:creationId xmlns:a16="http://schemas.microsoft.com/office/drawing/2014/main" id="{5378ECDE-B547-4B80-A02C-3DB83B18E2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 name="연결선: 꺾임 244">
          <a:extLst>
            <a:ext uri="{FF2B5EF4-FFF2-40B4-BE49-F238E27FC236}">
              <a16:creationId xmlns:a16="http://schemas.microsoft.com/office/drawing/2014/main" id="{70E138BE-2DDA-4164-AEEF-675EDCB5C8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 name="연결선: 꺾임 245">
          <a:extLst>
            <a:ext uri="{FF2B5EF4-FFF2-40B4-BE49-F238E27FC236}">
              <a16:creationId xmlns:a16="http://schemas.microsoft.com/office/drawing/2014/main" id="{F72F2B52-4117-442C-A173-10BF67C2B8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 name="연결선: 꺾임 246">
          <a:extLst>
            <a:ext uri="{FF2B5EF4-FFF2-40B4-BE49-F238E27FC236}">
              <a16:creationId xmlns:a16="http://schemas.microsoft.com/office/drawing/2014/main" id="{2C7C5F44-B78D-4BFB-AA1A-09D16A876B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 name="연결선: 꺾임 247">
          <a:extLst>
            <a:ext uri="{FF2B5EF4-FFF2-40B4-BE49-F238E27FC236}">
              <a16:creationId xmlns:a16="http://schemas.microsoft.com/office/drawing/2014/main" id="{F02417B8-A0DF-4346-951B-B94D07DF2D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9" name="연결선: 꺾임 248">
          <a:extLst>
            <a:ext uri="{FF2B5EF4-FFF2-40B4-BE49-F238E27FC236}">
              <a16:creationId xmlns:a16="http://schemas.microsoft.com/office/drawing/2014/main" id="{F0885D3E-0597-4B9D-AA0D-DA33A770E4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0" name="연결선: 꺾임 249">
          <a:extLst>
            <a:ext uri="{FF2B5EF4-FFF2-40B4-BE49-F238E27FC236}">
              <a16:creationId xmlns:a16="http://schemas.microsoft.com/office/drawing/2014/main" id="{9E8878C5-3D27-4810-8C5E-FC1D7886D64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1" name="연결선: 꺾임 250">
          <a:extLst>
            <a:ext uri="{FF2B5EF4-FFF2-40B4-BE49-F238E27FC236}">
              <a16:creationId xmlns:a16="http://schemas.microsoft.com/office/drawing/2014/main" id="{A1D6D8AB-3A55-4742-92B1-9ED0C86F9B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2" name="연결선: 꺾임 251">
          <a:extLst>
            <a:ext uri="{FF2B5EF4-FFF2-40B4-BE49-F238E27FC236}">
              <a16:creationId xmlns:a16="http://schemas.microsoft.com/office/drawing/2014/main" id="{1A072649-FA21-4996-8CFE-738F72CDB6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3" name="연결선: 꺾임 252">
          <a:extLst>
            <a:ext uri="{FF2B5EF4-FFF2-40B4-BE49-F238E27FC236}">
              <a16:creationId xmlns:a16="http://schemas.microsoft.com/office/drawing/2014/main" id="{EC09F5A5-A8B9-42C7-A033-26D3562B5732}"/>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4" name="연결선: 꺾임 253">
          <a:extLst>
            <a:ext uri="{FF2B5EF4-FFF2-40B4-BE49-F238E27FC236}">
              <a16:creationId xmlns:a16="http://schemas.microsoft.com/office/drawing/2014/main" id="{BEBECCA2-7D32-42E7-8AC4-8814EEB5A78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5" name="연결선: 꺾임 254">
          <a:extLst>
            <a:ext uri="{FF2B5EF4-FFF2-40B4-BE49-F238E27FC236}">
              <a16:creationId xmlns:a16="http://schemas.microsoft.com/office/drawing/2014/main" id="{BF514700-AD6F-4140-8B72-E11D3162F35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6" name="연결선: 꺾임 255">
          <a:extLst>
            <a:ext uri="{FF2B5EF4-FFF2-40B4-BE49-F238E27FC236}">
              <a16:creationId xmlns:a16="http://schemas.microsoft.com/office/drawing/2014/main" id="{67BC667D-CFC4-4394-9C74-089A79A93DD1}"/>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7" name="연결선: 꺾임 256">
          <a:extLst>
            <a:ext uri="{FF2B5EF4-FFF2-40B4-BE49-F238E27FC236}">
              <a16:creationId xmlns:a16="http://schemas.microsoft.com/office/drawing/2014/main" id="{0C0D81E9-4EB0-4775-B6CF-85367C357D9E}"/>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8" name="연결선: 꺾임 257">
          <a:extLst>
            <a:ext uri="{FF2B5EF4-FFF2-40B4-BE49-F238E27FC236}">
              <a16:creationId xmlns:a16="http://schemas.microsoft.com/office/drawing/2014/main" id="{4D567435-29D5-440A-AD58-2258B2ADFAD5}"/>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59" name="연결선: 꺾임 258">
          <a:extLst>
            <a:ext uri="{FF2B5EF4-FFF2-40B4-BE49-F238E27FC236}">
              <a16:creationId xmlns:a16="http://schemas.microsoft.com/office/drawing/2014/main" id="{1A123260-272E-4BAE-AA74-72E11E1F5EBA}"/>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0" name="연결선: 꺾임 259">
          <a:extLst>
            <a:ext uri="{FF2B5EF4-FFF2-40B4-BE49-F238E27FC236}">
              <a16:creationId xmlns:a16="http://schemas.microsoft.com/office/drawing/2014/main" id="{438ECDD4-D1AF-4F8E-9029-36CB7DC9D048}"/>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1" name="연결선: 꺾임 260">
          <a:extLst>
            <a:ext uri="{FF2B5EF4-FFF2-40B4-BE49-F238E27FC236}">
              <a16:creationId xmlns:a16="http://schemas.microsoft.com/office/drawing/2014/main" id="{BFDB974B-37A6-474F-83D8-B33250BDE47D}"/>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2" name="연결선: 꺾임 261">
          <a:extLst>
            <a:ext uri="{FF2B5EF4-FFF2-40B4-BE49-F238E27FC236}">
              <a16:creationId xmlns:a16="http://schemas.microsoft.com/office/drawing/2014/main" id="{5CF80485-02A3-45FB-A8E6-CC65761E2F33}"/>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12700</xdr:colOff>
      <xdr:row>0</xdr:row>
      <xdr:rowOff>12700</xdr:rowOff>
    </xdr:from>
    <xdr:to>
      <xdr:col>0</xdr:col>
      <xdr:colOff>12700</xdr:colOff>
      <xdr:row>0</xdr:row>
      <xdr:rowOff>12700</xdr:rowOff>
    </xdr:to>
    <xdr:cxnSp macro="">
      <xdr:nvCxnSpPr>
        <xdr:cNvPr id="263" name="연결선: 꺾임 262">
          <a:extLst>
            <a:ext uri="{FF2B5EF4-FFF2-40B4-BE49-F238E27FC236}">
              <a16:creationId xmlns:a16="http://schemas.microsoft.com/office/drawing/2014/main" id="{4C883B16-CF79-47B0-8CB3-B86EF724B426}"/>
            </a:ext>
          </a:extLst>
        </xdr:cNvPr>
        <xdr:cNvCxnSpPr/>
      </xdr:nvCxnSpPr>
      <xdr:spPr>
        <a:xfrm>
          <a:off x="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4" name="연결선: 꺾임 263">
          <a:extLst>
            <a:ext uri="{FF2B5EF4-FFF2-40B4-BE49-F238E27FC236}">
              <a16:creationId xmlns:a16="http://schemas.microsoft.com/office/drawing/2014/main" id="{CB756EE9-CB69-407A-B0CD-76A074E0FD3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5" name="연결선: 꺾임 264">
          <a:extLst>
            <a:ext uri="{FF2B5EF4-FFF2-40B4-BE49-F238E27FC236}">
              <a16:creationId xmlns:a16="http://schemas.microsoft.com/office/drawing/2014/main" id="{9940E444-348A-47A9-AEDC-6470AC043E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6" name="연결선: 꺾임 265">
          <a:extLst>
            <a:ext uri="{FF2B5EF4-FFF2-40B4-BE49-F238E27FC236}">
              <a16:creationId xmlns:a16="http://schemas.microsoft.com/office/drawing/2014/main" id="{3F1AAB84-22AA-4073-B22D-11450AD9C3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7" name="연결선: 꺾임 266">
          <a:extLst>
            <a:ext uri="{FF2B5EF4-FFF2-40B4-BE49-F238E27FC236}">
              <a16:creationId xmlns:a16="http://schemas.microsoft.com/office/drawing/2014/main" id="{0F992E93-DDA7-4971-8E28-D07EDA3B77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8" name="연결선: 꺾임 267">
          <a:extLst>
            <a:ext uri="{FF2B5EF4-FFF2-40B4-BE49-F238E27FC236}">
              <a16:creationId xmlns:a16="http://schemas.microsoft.com/office/drawing/2014/main" id="{D39D1BEE-A7F7-4385-97EF-1606A4BC5B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9" name="연결선: 꺾임 268">
          <a:extLst>
            <a:ext uri="{FF2B5EF4-FFF2-40B4-BE49-F238E27FC236}">
              <a16:creationId xmlns:a16="http://schemas.microsoft.com/office/drawing/2014/main" id="{20D75703-F499-4F8B-AFD6-DF00A39CEC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0" name="연결선: 꺾임 269">
          <a:extLst>
            <a:ext uri="{FF2B5EF4-FFF2-40B4-BE49-F238E27FC236}">
              <a16:creationId xmlns:a16="http://schemas.microsoft.com/office/drawing/2014/main" id="{41381D25-5E8B-4B40-A9A3-469DC66D2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1" name="연결선: 꺾임 270">
          <a:extLst>
            <a:ext uri="{FF2B5EF4-FFF2-40B4-BE49-F238E27FC236}">
              <a16:creationId xmlns:a16="http://schemas.microsoft.com/office/drawing/2014/main" id="{7AFA4B19-7906-4E9B-883D-A8A5AD920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2" name="연결선: 꺾임 271">
          <a:extLst>
            <a:ext uri="{FF2B5EF4-FFF2-40B4-BE49-F238E27FC236}">
              <a16:creationId xmlns:a16="http://schemas.microsoft.com/office/drawing/2014/main" id="{C212780A-BC8F-40F5-A299-400B036565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3" name="연결선: 꺾임 272">
          <a:extLst>
            <a:ext uri="{FF2B5EF4-FFF2-40B4-BE49-F238E27FC236}">
              <a16:creationId xmlns:a16="http://schemas.microsoft.com/office/drawing/2014/main" id="{F1A5D988-E3FE-45D5-BE68-1D734B91FF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4" name="연결선: 꺾임 273">
          <a:extLst>
            <a:ext uri="{FF2B5EF4-FFF2-40B4-BE49-F238E27FC236}">
              <a16:creationId xmlns:a16="http://schemas.microsoft.com/office/drawing/2014/main" id="{BD69CECE-F858-4F6C-96B5-9D8F8231BD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5" name="연결선: 꺾임 274">
          <a:extLst>
            <a:ext uri="{FF2B5EF4-FFF2-40B4-BE49-F238E27FC236}">
              <a16:creationId xmlns:a16="http://schemas.microsoft.com/office/drawing/2014/main" id="{0266E3CF-3D5A-4E9A-80C0-8B0A015E09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6" name="연결선: 꺾임 275">
          <a:extLst>
            <a:ext uri="{FF2B5EF4-FFF2-40B4-BE49-F238E27FC236}">
              <a16:creationId xmlns:a16="http://schemas.microsoft.com/office/drawing/2014/main" id="{9374E7C9-B755-4D00-836A-6CFCA105EF3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7" name="연결선: 꺾임 276">
          <a:extLst>
            <a:ext uri="{FF2B5EF4-FFF2-40B4-BE49-F238E27FC236}">
              <a16:creationId xmlns:a16="http://schemas.microsoft.com/office/drawing/2014/main" id="{81B06E1A-686F-4C14-B3CC-36751373C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8" name="연결선: 꺾임 277">
          <a:extLst>
            <a:ext uri="{FF2B5EF4-FFF2-40B4-BE49-F238E27FC236}">
              <a16:creationId xmlns:a16="http://schemas.microsoft.com/office/drawing/2014/main" id="{3287CD7B-177B-4570-8CD0-79C565DCE5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9" name="연결선: 꺾임 278">
          <a:extLst>
            <a:ext uri="{FF2B5EF4-FFF2-40B4-BE49-F238E27FC236}">
              <a16:creationId xmlns:a16="http://schemas.microsoft.com/office/drawing/2014/main" id="{5A72ED8B-87DE-4090-BBEC-B22FA6798A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0" name="연결선: 꺾임 279">
          <a:extLst>
            <a:ext uri="{FF2B5EF4-FFF2-40B4-BE49-F238E27FC236}">
              <a16:creationId xmlns:a16="http://schemas.microsoft.com/office/drawing/2014/main" id="{E4FA3D13-384C-4080-AA09-6844186275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1" name="연결선: 꺾임 280">
          <a:extLst>
            <a:ext uri="{FF2B5EF4-FFF2-40B4-BE49-F238E27FC236}">
              <a16:creationId xmlns:a16="http://schemas.microsoft.com/office/drawing/2014/main" id="{BC5D7E71-C683-4A29-96A9-445C4B7722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2" name="연결선: 꺾임 281">
          <a:extLst>
            <a:ext uri="{FF2B5EF4-FFF2-40B4-BE49-F238E27FC236}">
              <a16:creationId xmlns:a16="http://schemas.microsoft.com/office/drawing/2014/main" id="{8556825D-7156-4904-9853-2A61BF74B2D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3" name="연결선: 꺾임 282">
          <a:extLst>
            <a:ext uri="{FF2B5EF4-FFF2-40B4-BE49-F238E27FC236}">
              <a16:creationId xmlns:a16="http://schemas.microsoft.com/office/drawing/2014/main" id="{21441FFA-996B-466E-9057-7472A67A5D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4" name="연결선: 꺾임 283">
          <a:extLst>
            <a:ext uri="{FF2B5EF4-FFF2-40B4-BE49-F238E27FC236}">
              <a16:creationId xmlns:a16="http://schemas.microsoft.com/office/drawing/2014/main" id="{150DF014-B567-490D-8A2E-C332C2D730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5" name="연결선: 꺾임 284">
          <a:extLst>
            <a:ext uri="{FF2B5EF4-FFF2-40B4-BE49-F238E27FC236}">
              <a16:creationId xmlns:a16="http://schemas.microsoft.com/office/drawing/2014/main" id="{BA39D38C-D634-471B-930B-F97E366927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6" name="연결선: 꺾임 285">
          <a:extLst>
            <a:ext uri="{FF2B5EF4-FFF2-40B4-BE49-F238E27FC236}">
              <a16:creationId xmlns:a16="http://schemas.microsoft.com/office/drawing/2014/main" id="{546E697C-8058-4837-8960-3389A6C39F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7" name="연결선: 꺾임 286">
          <a:extLst>
            <a:ext uri="{FF2B5EF4-FFF2-40B4-BE49-F238E27FC236}">
              <a16:creationId xmlns:a16="http://schemas.microsoft.com/office/drawing/2014/main" id="{8E9029D7-45E7-4523-BD2B-FCCDE06208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8" name="연결선: 꺾임 287">
          <a:extLst>
            <a:ext uri="{FF2B5EF4-FFF2-40B4-BE49-F238E27FC236}">
              <a16:creationId xmlns:a16="http://schemas.microsoft.com/office/drawing/2014/main" id="{920BC37D-7F0F-4572-A75E-3D4C49B458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9" name="연결선: 꺾임 288">
          <a:extLst>
            <a:ext uri="{FF2B5EF4-FFF2-40B4-BE49-F238E27FC236}">
              <a16:creationId xmlns:a16="http://schemas.microsoft.com/office/drawing/2014/main" id="{91658046-B3E6-4BA6-B7C5-A7C2240342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0" name="연결선: 꺾임 289">
          <a:extLst>
            <a:ext uri="{FF2B5EF4-FFF2-40B4-BE49-F238E27FC236}">
              <a16:creationId xmlns:a16="http://schemas.microsoft.com/office/drawing/2014/main" id="{C128EACC-CC54-4DB3-8ABE-4366C2E8492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1" name="연결선: 꺾임 290">
          <a:extLst>
            <a:ext uri="{FF2B5EF4-FFF2-40B4-BE49-F238E27FC236}">
              <a16:creationId xmlns:a16="http://schemas.microsoft.com/office/drawing/2014/main" id="{3E7C6222-6FDD-464F-9B8F-7D0EA87246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2" name="연결선: 꺾임 291">
          <a:extLst>
            <a:ext uri="{FF2B5EF4-FFF2-40B4-BE49-F238E27FC236}">
              <a16:creationId xmlns:a16="http://schemas.microsoft.com/office/drawing/2014/main" id="{39DC2E0C-D2AC-4B66-B0C7-2C367BF043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3" name="연결선: 꺾임 292">
          <a:extLst>
            <a:ext uri="{FF2B5EF4-FFF2-40B4-BE49-F238E27FC236}">
              <a16:creationId xmlns:a16="http://schemas.microsoft.com/office/drawing/2014/main" id="{40D55762-2DBE-44C8-BE80-858987112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4" name="연결선: 꺾임 293">
          <a:extLst>
            <a:ext uri="{FF2B5EF4-FFF2-40B4-BE49-F238E27FC236}">
              <a16:creationId xmlns:a16="http://schemas.microsoft.com/office/drawing/2014/main" id="{735F4C66-84D7-4BDC-9796-1B4307B0BA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5" name="연결선: 꺾임 294">
          <a:extLst>
            <a:ext uri="{FF2B5EF4-FFF2-40B4-BE49-F238E27FC236}">
              <a16:creationId xmlns:a16="http://schemas.microsoft.com/office/drawing/2014/main" id="{C0C344B5-73E5-42EA-A00E-948DA82FEF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6" name="연결선: 꺾임 295">
          <a:extLst>
            <a:ext uri="{FF2B5EF4-FFF2-40B4-BE49-F238E27FC236}">
              <a16:creationId xmlns:a16="http://schemas.microsoft.com/office/drawing/2014/main" id="{EFDE9977-7248-4EFB-B393-4019D26D30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7" name="연결선: 꺾임 296">
          <a:extLst>
            <a:ext uri="{FF2B5EF4-FFF2-40B4-BE49-F238E27FC236}">
              <a16:creationId xmlns:a16="http://schemas.microsoft.com/office/drawing/2014/main" id="{077CF84F-564C-4252-9621-7D501555AA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8" name="연결선: 꺾임 297">
          <a:extLst>
            <a:ext uri="{FF2B5EF4-FFF2-40B4-BE49-F238E27FC236}">
              <a16:creationId xmlns:a16="http://schemas.microsoft.com/office/drawing/2014/main" id="{BACAF581-8039-4302-BF98-E052F907105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9" name="연결선: 꺾임 298">
          <a:extLst>
            <a:ext uri="{FF2B5EF4-FFF2-40B4-BE49-F238E27FC236}">
              <a16:creationId xmlns:a16="http://schemas.microsoft.com/office/drawing/2014/main" id="{511E5E63-039F-436E-893F-13130673F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0" name="연결선: 꺾임 299">
          <a:extLst>
            <a:ext uri="{FF2B5EF4-FFF2-40B4-BE49-F238E27FC236}">
              <a16:creationId xmlns:a16="http://schemas.microsoft.com/office/drawing/2014/main" id="{804E2832-B62F-4AFB-A0FA-15DFB3DAB3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1" name="연결선: 꺾임 300">
          <a:extLst>
            <a:ext uri="{FF2B5EF4-FFF2-40B4-BE49-F238E27FC236}">
              <a16:creationId xmlns:a16="http://schemas.microsoft.com/office/drawing/2014/main" id="{E61E1C10-EBBD-4472-B7E0-60F53D7BE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2" name="연결선: 꺾임 301">
          <a:extLst>
            <a:ext uri="{FF2B5EF4-FFF2-40B4-BE49-F238E27FC236}">
              <a16:creationId xmlns:a16="http://schemas.microsoft.com/office/drawing/2014/main" id="{83C338A0-3F5D-4650-BA94-D88912E924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3" name="연결선: 꺾임 302">
          <a:extLst>
            <a:ext uri="{FF2B5EF4-FFF2-40B4-BE49-F238E27FC236}">
              <a16:creationId xmlns:a16="http://schemas.microsoft.com/office/drawing/2014/main" id="{43B238B2-440F-44E8-976C-9D6058C1C74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4" name="연결선: 꺾임 303">
          <a:extLst>
            <a:ext uri="{FF2B5EF4-FFF2-40B4-BE49-F238E27FC236}">
              <a16:creationId xmlns:a16="http://schemas.microsoft.com/office/drawing/2014/main" id="{D00C8B0A-C9BE-450C-BAC8-6D4E55B3267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5" name="연결선: 꺾임 304">
          <a:extLst>
            <a:ext uri="{FF2B5EF4-FFF2-40B4-BE49-F238E27FC236}">
              <a16:creationId xmlns:a16="http://schemas.microsoft.com/office/drawing/2014/main" id="{231388E8-4A68-4D57-8C2C-03D3C5524B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6" name="연결선: 꺾임 305">
          <a:extLst>
            <a:ext uri="{FF2B5EF4-FFF2-40B4-BE49-F238E27FC236}">
              <a16:creationId xmlns:a16="http://schemas.microsoft.com/office/drawing/2014/main" id="{6C129804-A548-487C-8DEB-BB0147635E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7" name="연결선: 꺾임 306">
          <a:extLst>
            <a:ext uri="{FF2B5EF4-FFF2-40B4-BE49-F238E27FC236}">
              <a16:creationId xmlns:a16="http://schemas.microsoft.com/office/drawing/2014/main" id="{BF17510B-23D7-4738-B4D0-505D6D910D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8" name="연결선: 꺾임 307">
          <a:extLst>
            <a:ext uri="{FF2B5EF4-FFF2-40B4-BE49-F238E27FC236}">
              <a16:creationId xmlns:a16="http://schemas.microsoft.com/office/drawing/2014/main" id="{2C8D2D71-0525-41B9-8B68-98470839A1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9" name="연결선: 꺾임 308">
          <a:extLst>
            <a:ext uri="{FF2B5EF4-FFF2-40B4-BE49-F238E27FC236}">
              <a16:creationId xmlns:a16="http://schemas.microsoft.com/office/drawing/2014/main" id="{944B84C2-4B84-4B05-8830-02D433F69D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0" name="연결선: 꺾임 309">
          <a:extLst>
            <a:ext uri="{FF2B5EF4-FFF2-40B4-BE49-F238E27FC236}">
              <a16:creationId xmlns:a16="http://schemas.microsoft.com/office/drawing/2014/main" id="{6A7519E8-C30D-41E1-8B36-4CAFBDACBB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1" name="연결선: 꺾임 310">
          <a:extLst>
            <a:ext uri="{FF2B5EF4-FFF2-40B4-BE49-F238E27FC236}">
              <a16:creationId xmlns:a16="http://schemas.microsoft.com/office/drawing/2014/main" id="{236DEAE8-D525-4006-A59D-477960616D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2" name="연결선: 꺾임 311">
          <a:extLst>
            <a:ext uri="{FF2B5EF4-FFF2-40B4-BE49-F238E27FC236}">
              <a16:creationId xmlns:a16="http://schemas.microsoft.com/office/drawing/2014/main" id="{C4C29A65-1948-4D43-B49F-514D94E4C10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3" name="연결선: 꺾임 312">
          <a:extLst>
            <a:ext uri="{FF2B5EF4-FFF2-40B4-BE49-F238E27FC236}">
              <a16:creationId xmlns:a16="http://schemas.microsoft.com/office/drawing/2014/main" id="{F8EEAEA7-F909-4F8F-BDC7-6A29257D9CE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4" name="연결선: 꺾임 313">
          <a:extLst>
            <a:ext uri="{FF2B5EF4-FFF2-40B4-BE49-F238E27FC236}">
              <a16:creationId xmlns:a16="http://schemas.microsoft.com/office/drawing/2014/main" id="{73353FDE-0F1B-4E6E-9E01-F678B3746C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5" name="연결선: 꺾임 314">
          <a:extLst>
            <a:ext uri="{FF2B5EF4-FFF2-40B4-BE49-F238E27FC236}">
              <a16:creationId xmlns:a16="http://schemas.microsoft.com/office/drawing/2014/main" id="{4D534F21-55A3-4E72-8FFD-1CA97B4B67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6" name="연결선: 꺾임 315">
          <a:extLst>
            <a:ext uri="{FF2B5EF4-FFF2-40B4-BE49-F238E27FC236}">
              <a16:creationId xmlns:a16="http://schemas.microsoft.com/office/drawing/2014/main" id="{F19D6419-F4E3-4A25-8656-4FA979F5BA9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7" name="연결선: 꺾임 316">
          <a:extLst>
            <a:ext uri="{FF2B5EF4-FFF2-40B4-BE49-F238E27FC236}">
              <a16:creationId xmlns:a16="http://schemas.microsoft.com/office/drawing/2014/main" id="{1B63F51B-4CE5-41CC-AC4B-28A82B00B8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8" name="연결선: 꺾임 317">
          <a:extLst>
            <a:ext uri="{FF2B5EF4-FFF2-40B4-BE49-F238E27FC236}">
              <a16:creationId xmlns:a16="http://schemas.microsoft.com/office/drawing/2014/main" id="{F06AB495-1022-4D51-9243-0CD4BE5C06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9" name="연결선: 꺾임 318">
          <a:extLst>
            <a:ext uri="{FF2B5EF4-FFF2-40B4-BE49-F238E27FC236}">
              <a16:creationId xmlns:a16="http://schemas.microsoft.com/office/drawing/2014/main" id="{A9D4A09D-F154-4931-A04C-376638DBB0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0" name="연결선: 꺾임 319">
          <a:extLst>
            <a:ext uri="{FF2B5EF4-FFF2-40B4-BE49-F238E27FC236}">
              <a16:creationId xmlns:a16="http://schemas.microsoft.com/office/drawing/2014/main" id="{5286A0E1-5EBA-4506-8799-3ADC86E15E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1" name="연결선: 꺾임 320">
          <a:extLst>
            <a:ext uri="{FF2B5EF4-FFF2-40B4-BE49-F238E27FC236}">
              <a16:creationId xmlns:a16="http://schemas.microsoft.com/office/drawing/2014/main" id="{5D777F80-E16B-45CA-9F67-5B2CCB6A69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2" name="연결선: 꺾임 321">
          <a:extLst>
            <a:ext uri="{FF2B5EF4-FFF2-40B4-BE49-F238E27FC236}">
              <a16:creationId xmlns:a16="http://schemas.microsoft.com/office/drawing/2014/main" id="{18EC9109-1263-4B2F-8825-561B9A2DAF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3" name="연결선: 꺾임 322">
          <a:extLst>
            <a:ext uri="{FF2B5EF4-FFF2-40B4-BE49-F238E27FC236}">
              <a16:creationId xmlns:a16="http://schemas.microsoft.com/office/drawing/2014/main" id="{4579892E-5830-4E87-805F-4F0B027A78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4" name="연결선: 꺾임 323">
          <a:extLst>
            <a:ext uri="{FF2B5EF4-FFF2-40B4-BE49-F238E27FC236}">
              <a16:creationId xmlns:a16="http://schemas.microsoft.com/office/drawing/2014/main" id="{E2772E2A-BF43-406B-BA7A-1F31208DD4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5" name="연결선: 꺾임 324">
          <a:extLst>
            <a:ext uri="{FF2B5EF4-FFF2-40B4-BE49-F238E27FC236}">
              <a16:creationId xmlns:a16="http://schemas.microsoft.com/office/drawing/2014/main" id="{9327030B-3008-4087-B247-215A2D32F8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6" name="연결선: 꺾임 325">
          <a:extLst>
            <a:ext uri="{FF2B5EF4-FFF2-40B4-BE49-F238E27FC236}">
              <a16:creationId xmlns:a16="http://schemas.microsoft.com/office/drawing/2014/main" id="{FCC3928F-2884-4EEC-815F-D5E7394023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7" name="연결선: 꺾임 326">
          <a:extLst>
            <a:ext uri="{FF2B5EF4-FFF2-40B4-BE49-F238E27FC236}">
              <a16:creationId xmlns:a16="http://schemas.microsoft.com/office/drawing/2014/main" id="{98D356C7-2080-4871-B872-A456803B73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8" name="연결선: 꺾임 327">
          <a:extLst>
            <a:ext uri="{FF2B5EF4-FFF2-40B4-BE49-F238E27FC236}">
              <a16:creationId xmlns:a16="http://schemas.microsoft.com/office/drawing/2014/main" id="{7C346BC7-FF9E-4E9D-8F5A-36509EA09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9" name="연결선: 꺾임 328">
          <a:extLst>
            <a:ext uri="{FF2B5EF4-FFF2-40B4-BE49-F238E27FC236}">
              <a16:creationId xmlns:a16="http://schemas.microsoft.com/office/drawing/2014/main" id="{4B5C752C-1522-4EB4-9DC8-9A29B42A10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0" name="연결선: 꺾임 329">
          <a:extLst>
            <a:ext uri="{FF2B5EF4-FFF2-40B4-BE49-F238E27FC236}">
              <a16:creationId xmlns:a16="http://schemas.microsoft.com/office/drawing/2014/main" id="{EAA632ED-5D80-4A37-89B0-BC58FCBC5B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1" name="연결선: 꺾임 330">
          <a:extLst>
            <a:ext uri="{FF2B5EF4-FFF2-40B4-BE49-F238E27FC236}">
              <a16:creationId xmlns:a16="http://schemas.microsoft.com/office/drawing/2014/main" id="{3A20068C-7426-4191-B9B9-EFFA1D777F4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2" name="연결선: 꺾임 331">
          <a:extLst>
            <a:ext uri="{FF2B5EF4-FFF2-40B4-BE49-F238E27FC236}">
              <a16:creationId xmlns:a16="http://schemas.microsoft.com/office/drawing/2014/main" id="{85B832BD-AFF9-4919-80B0-58567FE31B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3" name="연결선: 꺾임 332">
          <a:extLst>
            <a:ext uri="{FF2B5EF4-FFF2-40B4-BE49-F238E27FC236}">
              <a16:creationId xmlns:a16="http://schemas.microsoft.com/office/drawing/2014/main" id="{FDA77E8F-F6E3-4B2E-B4E0-E88B6127EA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4" name="연결선: 꺾임 333">
          <a:extLst>
            <a:ext uri="{FF2B5EF4-FFF2-40B4-BE49-F238E27FC236}">
              <a16:creationId xmlns:a16="http://schemas.microsoft.com/office/drawing/2014/main" id="{7B20532B-664C-497F-A07C-1A1B40644B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5" name="연결선: 꺾임 334">
          <a:extLst>
            <a:ext uri="{FF2B5EF4-FFF2-40B4-BE49-F238E27FC236}">
              <a16:creationId xmlns:a16="http://schemas.microsoft.com/office/drawing/2014/main" id="{85BC809F-ED82-4289-A441-8979EEE7137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6" name="연결선: 꺾임 335">
          <a:extLst>
            <a:ext uri="{FF2B5EF4-FFF2-40B4-BE49-F238E27FC236}">
              <a16:creationId xmlns:a16="http://schemas.microsoft.com/office/drawing/2014/main" id="{E8816214-501C-4DBD-BF07-43547FD856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7" name="연결선: 꺾임 336">
          <a:extLst>
            <a:ext uri="{FF2B5EF4-FFF2-40B4-BE49-F238E27FC236}">
              <a16:creationId xmlns:a16="http://schemas.microsoft.com/office/drawing/2014/main" id="{923A34A4-148F-4B82-AE50-B19C0582859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8" name="연결선: 꺾임 337">
          <a:extLst>
            <a:ext uri="{FF2B5EF4-FFF2-40B4-BE49-F238E27FC236}">
              <a16:creationId xmlns:a16="http://schemas.microsoft.com/office/drawing/2014/main" id="{084DA903-866B-49D8-87A4-A408BDEE72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9" name="연결선: 꺾임 338">
          <a:extLst>
            <a:ext uri="{FF2B5EF4-FFF2-40B4-BE49-F238E27FC236}">
              <a16:creationId xmlns:a16="http://schemas.microsoft.com/office/drawing/2014/main" id="{47FB64DB-F0FA-43E0-9D96-0EA41ECC22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0" name="연결선: 꺾임 339">
          <a:extLst>
            <a:ext uri="{FF2B5EF4-FFF2-40B4-BE49-F238E27FC236}">
              <a16:creationId xmlns:a16="http://schemas.microsoft.com/office/drawing/2014/main" id="{02ED71AC-67C3-4473-B81C-2FDBF66A066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1" name="연결선: 꺾임 340">
          <a:extLst>
            <a:ext uri="{FF2B5EF4-FFF2-40B4-BE49-F238E27FC236}">
              <a16:creationId xmlns:a16="http://schemas.microsoft.com/office/drawing/2014/main" id="{4C20587A-98F1-4455-ACF0-028366FB84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2" name="연결선: 꺾임 341">
          <a:extLst>
            <a:ext uri="{FF2B5EF4-FFF2-40B4-BE49-F238E27FC236}">
              <a16:creationId xmlns:a16="http://schemas.microsoft.com/office/drawing/2014/main" id="{521FF7FC-9CEB-43D9-8FE7-8935DD2B6D5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3" name="연결선: 꺾임 342">
          <a:extLst>
            <a:ext uri="{FF2B5EF4-FFF2-40B4-BE49-F238E27FC236}">
              <a16:creationId xmlns:a16="http://schemas.microsoft.com/office/drawing/2014/main" id="{6E475889-261F-40A7-B022-1EC3ED9F50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4" name="연결선: 꺾임 343">
          <a:extLst>
            <a:ext uri="{FF2B5EF4-FFF2-40B4-BE49-F238E27FC236}">
              <a16:creationId xmlns:a16="http://schemas.microsoft.com/office/drawing/2014/main" id="{6E848DAD-8298-4394-B1EF-1E2FE522266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5" name="연결선: 꺾임 344">
          <a:extLst>
            <a:ext uri="{FF2B5EF4-FFF2-40B4-BE49-F238E27FC236}">
              <a16:creationId xmlns:a16="http://schemas.microsoft.com/office/drawing/2014/main" id="{B40C66A1-95D3-47AC-A7C2-394231A9F0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6" name="연결선: 꺾임 345">
          <a:extLst>
            <a:ext uri="{FF2B5EF4-FFF2-40B4-BE49-F238E27FC236}">
              <a16:creationId xmlns:a16="http://schemas.microsoft.com/office/drawing/2014/main" id="{1CDA56E0-3923-4F8E-901F-F2074893E1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7" name="연결선: 꺾임 346">
          <a:extLst>
            <a:ext uri="{FF2B5EF4-FFF2-40B4-BE49-F238E27FC236}">
              <a16:creationId xmlns:a16="http://schemas.microsoft.com/office/drawing/2014/main" id="{E7E5F7A6-9467-4251-9243-2161412650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8" name="연결선: 꺾임 347">
          <a:extLst>
            <a:ext uri="{FF2B5EF4-FFF2-40B4-BE49-F238E27FC236}">
              <a16:creationId xmlns:a16="http://schemas.microsoft.com/office/drawing/2014/main" id="{BD683C71-DBCD-4BBF-857D-F61F14595CD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9" name="연결선: 꺾임 348">
          <a:extLst>
            <a:ext uri="{FF2B5EF4-FFF2-40B4-BE49-F238E27FC236}">
              <a16:creationId xmlns:a16="http://schemas.microsoft.com/office/drawing/2014/main" id="{7EB440B5-B331-4A5B-9462-C1FDF7105D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0" name="연결선: 꺾임 349">
          <a:extLst>
            <a:ext uri="{FF2B5EF4-FFF2-40B4-BE49-F238E27FC236}">
              <a16:creationId xmlns:a16="http://schemas.microsoft.com/office/drawing/2014/main" id="{3C83D335-9FF4-40DB-83F9-D3DA733796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1" name="연결선: 꺾임 350">
          <a:extLst>
            <a:ext uri="{FF2B5EF4-FFF2-40B4-BE49-F238E27FC236}">
              <a16:creationId xmlns:a16="http://schemas.microsoft.com/office/drawing/2014/main" id="{3847A1EC-7B7A-40CA-8369-55DD04A9FB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2" name="연결선: 꺾임 351">
          <a:extLst>
            <a:ext uri="{FF2B5EF4-FFF2-40B4-BE49-F238E27FC236}">
              <a16:creationId xmlns:a16="http://schemas.microsoft.com/office/drawing/2014/main" id="{ECD0479C-A6D1-48C6-B114-FDD3E0A745D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3" name="연결선: 꺾임 352">
          <a:extLst>
            <a:ext uri="{FF2B5EF4-FFF2-40B4-BE49-F238E27FC236}">
              <a16:creationId xmlns:a16="http://schemas.microsoft.com/office/drawing/2014/main" id="{BB789C8A-99C1-42B0-82D5-CE8079F0CE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4" name="연결선: 꺾임 353">
          <a:extLst>
            <a:ext uri="{FF2B5EF4-FFF2-40B4-BE49-F238E27FC236}">
              <a16:creationId xmlns:a16="http://schemas.microsoft.com/office/drawing/2014/main" id="{5597024A-5919-419B-A40F-9F769B444A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5" name="연결선: 꺾임 354">
          <a:extLst>
            <a:ext uri="{FF2B5EF4-FFF2-40B4-BE49-F238E27FC236}">
              <a16:creationId xmlns:a16="http://schemas.microsoft.com/office/drawing/2014/main" id="{659E7A2D-AABF-407A-A268-E0E28AD4F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6" name="연결선: 꺾임 355">
          <a:extLst>
            <a:ext uri="{FF2B5EF4-FFF2-40B4-BE49-F238E27FC236}">
              <a16:creationId xmlns:a16="http://schemas.microsoft.com/office/drawing/2014/main" id="{8A717848-4310-4C25-BE1C-E0AFDD6D9F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7" name="연결선: 꺾임 356">
          <a:extLst>
            <a:ext uri="{FF2B5EF4-FFF2-40B4-BE49-F238E27FC236}">
              <a16:creationId xmlns:a16="http://schemas.microsoft.com/office/drawing/2014/main" id="{4CE08B47-18D3-4A42-9451-749C661761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8" name="연결선: 꺾임 357">
          <a:extLst>
            <a:ext uri="{FF2B5EF4-FFF2-40B4-BE49-F238E27FC236}">
              <a16:creationId xmlns:a16="http://schemas.microsoft.com/office/drawing/2014/main" id="{D81A5142-5526-4282-B07A-DE2DC7DF35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9" name="연결선: 꺾임 358">
          <a:extLst>
            <a:ext uri="{FF2B5EF4-FFF2-40B4-BE49-F238E27FC236}">
              <a16:creationId xmlns:a16="http://schemas.microsoft.com/office/drawing/2014/main" id="{9FB12DCE-1103-41B5-B884-7FDD6BC94F9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0" name="연결선: 꺾임 359">
          <a:extLst>
            <a:ext uri="{FF2B5EF4-FFF2-40B4-BE49-F238E27FC236}">
              <a16:creationId xmlns:a16="http://schemas.microsoft.com/office/drawing/2014/main" id="{72A5FE75-9AE5-4987-9FD4-4C6B6E2409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1" name="연결선: 꺾임 360">
          <a:extLst>
            <a:ext uri="{FF2B5EF4-FFF2-40B4-BE49-F238E27FC236}">
              <a16:creationId xmlns:a16="http://schemas.microsoft.com/office/drawing/2014/main" id="{74556AB9-B6DD-4F8F-B62B-AF9F06B119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2" name="연결선: 꺾임 361">
          <a:extLst>
            <a:ext uri="{FF2B5EF4-FFF2-40B4-BE49-F238E27FC236}">
              <a16:creationId xmlns:a16="http://schemas.microsoft.com/office/drawing/2014/main" id="{3B5EE440-AAD4-41B9-B14A-C6B9C03F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3" name="연결선: 꺾임 362">
          <a:extLst>
            <a:ext uri="{FF2B5EF4-FFF2-40B4-BE49-F238E27FC236}">
              <a16:creationId xmlns:a16="http://schemas.microsoft.com/office/drawing/2014/main" id="{1FB53F18-9C9C-4FCE-8B7D-65C0EABA8C3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4" name="연결선: 꺾임 363">
          <a:extLst>
            <a:ext uri="{FF2B5EF4-FFF2-40B4-BE49-F238E27FC236}">
              <a16:creationId xmlns:a16="http://schemas.microsoft.com/office/drawing/2014/main" id="{F0AFD464-3711-47EA-89E2-31AE07693D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5" name="연결선: 꺾임 364">
          <a:extLst>
            <a:ext uri="{FF2B5EF4-FFF2-40B4-BE49-F238E27FC236}">
              <a16:creationId xmlns:a16="http://schemas.microsoft.com/office/drawing/2014/main" id="{46BB1C31-2031-40DC-92DF-B09514796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6" name="연결선: 꺾임 365">
          <a:extLst>
            <a:ext uri="{FF2B5EF4-FFF2-40B4-BE49-F238E27FC236}">
              <a16:creationId xmlns:a16="http://schemas.microsoft.com/office/drawing/2014/main" id="{511DF110-23A7-477F-AF0D-AB3F7397618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7" name="연결선: 꺾임 366">
          <a:extLst>
            <a:ext uri="{FF2B5EF4-FFF2-40B4-BE49-F238E27FC236}">
              <a16:creationId xmlns:a16="http://schemas.microsoft.com/office/drawing/2014/main" id="{0BE35182-0CF6-419F-94C8-6F6EA00275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8" name="연결선: 꺾임 367">
          <a:extLst>
            <a:ext uri="{FF2B5EF4-FFF2-40B4-BE49-F238E27FC236}">
              <a16:creationId xmlns:a16="http://schemas.microsoft.com/office/drawing/2014/main" id="{EF76E1EB-9821-4CE7-B223-833E308087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9" name="연결선: 꺾임 368">
          <a:extLst>
            <a:ext uri="{FF2B5EF4-FFF2-40B4-BE49-F238E27FC236}">
              <a16:creationId xmlns:a16="http://schemas.microsoft.com/office/drawing/2014/main" id="{5B34A392-9184-4E9A-834B-14E5B73EBF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0" name="연결선: 꺾임 369">
          <a:extLst>
            <a:ext uri="{FF2B5EF4-FFF2-40B4-BE49-F238E27FC236}">
              <a16:creationId xmlns:a16="http://schemas.microsoft.com/office/drawing/2014/main" id="{C452C998-366D-415A-97D8-66238B5620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1" name="연결선: 꺾임 370">
          <a:extLst>
            <a:ext uri="{FF2B5EF4-FFF2-40B4-BE49-F238E27FC236}">
              <a16:creationId xmlns:a16="http://schemas.microsoft.com/office/drawing/2014/main" id="{1B8B2969-E3BD-4932-8C3B-253A261F95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2" name="연결선: 꺾임 371">
          <a:extLst>
            <a:ext uri="{FF2B5EF4-FFF2-40B4-BE49-F238E27FC236}">
              <a16:creationId xmlns:a16="http://schemas.microsoft.com/office/drawing/2014/main" id="{4564BF2B-9904-4252-816C-E069F82B890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3" name="연결선: 꺾임 372">
          <a:extLst>
            <a:ext uri="{FF2B5EF4-FFF2-40B4-BE49-F238E27FC236}">
              <a16:creationId xmlns:a16="http://schemas.microsoft.com/office/drawing/2014/main" id="{F23A65AE-6179-4B57-A818-A081F964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4" name="연결선: 꺾임 373">
          <a:extLst>
            <a:ext uri="{FF2B5EF4-FFF2-40B4-BE49-F238E27FC236}">
              <a16:creationId xmlns:a16="http://schemas.microsoft.com/office/drawing/2014/main" id="{F28CBD4B-C701-4499-BAE8-FDADCBB323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5" name="연결선: 꺾임 374">
          <a:extLst>
            <a:ext uri="{FF2B5EF4-FFF2-40B4-BE49-F238E27FC236}">
              <a16:creationId xmlns:a16="http://schemas.microsoft.com/office/drawing/2014/main" id="{903097D3-EF19-4122-AD48-6DB4B4945B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6" name="연결선: 꺾임 375">
          <a:extLst>
            <a:ext uri="{FF2B5EF4-FFF2-40B4-BE49-F238E27FC236}">
              <a16:creationId xmlns:a16="http://schemas.microsoft.com/office/drawing/2014/main" id="{8BB086E8-21B5-4382-911A-97B107F4F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7" name="연결선: 꺾임 376">
          <a:extLst>
            <a:ext uri="{FF2B5EF4-FFF2-40B4-BE49-F238E27FC236}">
              <a16:creationId xmlns:a16="http://schemas.microsoft.com/office/drawing/2014/main" id="{7F8C003D-F48E-475D-87AD-F56D262310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8" name="연결선: 꺾임 377">
          <a:extLst>
            <a:ext uri="{FF2B5EF4-FFF2-40B4-BE49-F238E27FC236}">
              <a16:creationId xmlns:a16="http://schemas.microsoft.com/office/drawing/2014/main" id="{C81F3D79-BE0B-4493-B746-D1C04D2BFB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9" name="연결선: 꺾임 378">
          <a:extLst>
            <a:ext uri="{FF2B5EF4-FFF2-40B4-BE49-F238E27FC236}">
              <a16:creationId xmlns:a16="http://schemas.microsoft.com/office/drawing/2014/main" id="{92909178-393D-4A3E-820A-5DA63E6040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0" name="연결선: 꺾임 379">
          <a:extLst>
            <a:ext uri="{FF2B5EF4-FFF2-40B4-BE49-F238E27FC236}">
              <a16:creationId xmlns:a16="http://schemas.microsoft.com/office/drawing/2014/main" id="{508536C9-F676-4207-9907-ACF0E16E68A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1" name="연결선: 꺾임 380">
          <a:extLst>
            <a:ext uri="{FF2B5EF4-FFF2-40B4-BE49-F238E27FC236}">
              <a16:creationId xmlns:a16="http://schemas.microsoft.com/office/drawing/2014/main" id="{45B5FA7F-4BB1-4179-A43C-241B959FB9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2" name="연결선: 꺾임 381">
          <a:extLst>
            <a:ext uri="{FF2B5EF4-FFF2-40B4-BE49-F238E27FC236}">
              <a16:creationId xmlns:a16="http://schemas.microsoft.com/office/drawing/2014/main" id="{D938A792-EABB-4CC8-8328-75F808C043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3" name="연결선: 꺾임 382">
          <a:extLst>
            <a:ext uri="{FF2B5EF4-FFF2-40B4-BE49-F238E27FC236}">
              <a16:creationId xmlns:a16="http://schemas.microsoft.com/office/drawing/2014/main" id="{99DD924E-9D28-4FCE-B318-CD57366A6F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4" name="연결선: 꺾임 383">
          <a:extLst>
            <a:ext uri="{FF2B5EF4-FFF2-40B4-BE49-F238E27FC236}">
              <a16:creationId xmlns:a16="http://schemas.microsoft.com/office/drawing/2014/main" id="{96CF45BB-9EA9-4701-AF97-62FC3900CF7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5" name="연결선: 꺾임 384">
          <a:extLst>
            <a:ext uri="{FF2B5EF4-FFF2-40B4-BE49-F238E27FC236}">
              <a16:creationId xmlns:a16="http://schemas.microsoft.com/office/drawing/2014/main" id="{063C0D76-902E-4F6E-AAA4-BAABAE14A3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6" name="연결선: 꺾임 385">
          <a:extLst>
            <a:ext uri="{FF2B5EF4-FFF2-40B4-BE49-F238E27FC236}">
              <a16:creationId xmlns:a16="http://schemas.microsoft.com/office/drawing/2014/main" id="{5301A737-0392-42E6-8422-066EBD47D0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7" name="연결선: 꺾임 386">
          <a:extLst>
            <a:ext uri="{FF2B5EF4-FFF2-40B4-BE49-F238E27FC236}">
              <a16:creationId xmlns:a16="http://schemas.microsoft.com/office/drawing/2014/main" id="{033390F7-3F8D-4A14-8999-E7F9BFA308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8" name="연결선: 꺾임 387">
          <a:extLst>
            <a:ext uri="{FF2B5EF4-FFF2-40B4-BE49-F238E27FC236}">
              <a16:creationId xmlns:a16="http://schemas.microsoft.com/office/drawing/2014/main" id="{D796744D-D006-4343-A2D2-AB3781B20A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9" name="연결선: 꺾임 388">
          <a:extLst>
            <a:ext uri="{FF2B5EF4-FFF2-40B4-BE49-F238E27FC236}">
              <a16:creationId xmlns:a16="http://schemas.microsoft.com/office/drawing/2014/main" id="{E1504A20-F109-4D5D-A262-3031FBF226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0" name="연결선: 꺾임 389">
          <a:extLst>
            <a:ext uri="{FF2B5EF4-FFF2-40B4-BE49-F238E27FC236}">
              <a16:creationId xmlns:a16="http://schemas.microsoft.com/office/drawing/2014/main" id="{58DDA073-E1F5-4C6E-93D8-C02946CA20C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1" name="연결선: 꺾임 390">
          <a:extLst>
            <a:ext uri="{FF2B5EF4-FFF2-40B4-BE49-F238E27FC236}">
              <a16:creationId xmlns:a16="http://schemas.microsoft.com/office/drawing/2014/main" id="{69888874-26FF-4B40-A54F-9E80EB54CE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2" name="연결선: 꺾임 391">
          <a:extLst>
            <a:ext uri="{FF2B5EF4-FFF2-40B4-BE49-F238E27FC236}">
              <a16:creationId xmlns:a16="http://schemas.microsoft.com/office/drawing/2014/main" id="{8F7FF6D2-A8A1-4FEB-81A5-B375535AE82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3" name="연결선: 꺾임 392">
          <a:extLst>
            <a:ext uri="{FF2B5EF4-FFF2-40B4-BE49-F238E27FC236}">
              <a16:creationId xmlns:a16="http://schemas.microsoft.com/office/drawing/2014/main" id="{053CD62B-5E5B-4E62-BFB9-9309BB6429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4" name="연결선: 꺾임 393">
          <a:extLst>
            <a:ext uri="{FF2B5EF4-FFF2-40B4-BE49-F238E27FC236}">
              <a16:creationId xmlns:a16="http://schemas.microsoft.com/office/drawing/2014/main" id="{04783314-369C-47DA-8FC9-608E88D971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5" name="연결선: 꺾임 394">
          <a:extLst>
            <a:ext uri="{FF2B5EF4-FFF2-40B4-BE49-F238E27FC236}">
              <a16:creationId xmlns:a16="http://schemas.microsoft.com/office/drawing/2014/main" id="{B646DC88-AAAE-4598-918C-17F0324444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6" name="연결선: 꺾임 395">
          <a:extLst>
            <a:ext uri="{FF2B5EF4-FFF2-40B4-BE49-F238E27FC236}">
              <a16:creationId xmlns:a16="http://schemas.microsoft.com/office/drawing/2014/main" id="{9887826D-9BE5-4A04-8DC3-529E1AE04B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7" name="연결선: 꺾임 396">
          <a:extLst>
            <a:ext uri="{FF2B5EF4-FFF2-40B4-BE49-F238E27FC236}">
              <a16:creationId xmlns:a16="http://schemas.microsoft.com/office/drawing/2014/main" id="{0CD9E7EC-E96A-4B5F-B7C0-1664FE77966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8" name="연결선: 꺾임 397">
          <a:extLst>
            <a:ext uri="{FF2B5EF4-FFF2-40B4-BE49-F238E27FC236}">
              <a16:creationId xmlns:a16="http://schemas.microsoft.com/office/drawing/2014/main" id="{774101BA-A1D2-48DE-939E-FA0FB442FF2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99" name="연결선: 꺾임 398">
          <a:extLst>
            <a:ext uri="{FF2B5EF4-FFF2-40B4-BE49-F238E27FC236}">
              <a16:creationId xmlns:a16="http://schemas.microsoft.com/office/drawing/2014/main" id="{B9247381-FF75-44CD-BBD2-5EB45E5F27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0" name="연결선: 꺾임 399">
          <a:extLst>
            <a:ext uri="{FF2B5EF4-FFF2-40B4-BE49-F238E27FC236}">
              <a16:creationId xmlns:a16="http://schemas.microsoft.com/office/drawing/2014/main" id="{3FBE2CC6-BEB2-4B1B-A4B9-81DB9967A0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1" name="연결선: 꺾임 400">
          <a:extLst>
            <a:ext uri="{FF2B5EF4-FFF2-40B4-BE49-F238E27FC236}">
              <a16:creationId xmlns:a16="http://schemas.microsoft.com/office/drawing/2014/main" id="{17E682F3-D487-4C3C-946C-D8A2B46224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2" name="연결선: 꺾임 401">
          <a:extLst>
            <a:ext uri="{FF2B5EF4-FFF2-40B4-BE49-F238E27FC236}">
              <a16:creationId xmlns:a16="http://schemas.microsoft.com/office/drawing/2014/main" id="{0C38F5B9-2A8F-4097-81D9-173A433154F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3" name="연결선: 꺾임 402">
          <a:extLst>
            <a:ext uri="{FF2B5EF4-FFF2-40B4-BE49-F238E27FC236}">
              <a16:creationId xmlns:a16="http://schemas.microsoft.com/office/drawing/2014/main" id="{D9CB8F42-1B07-474E-BFC7-4E6253E261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4" name="연결선: 꺾임 403">
          <a:extLst>
            <a:ext uri="{FF2B5EF4-FFF2-40B4-BE49-F238E27FC236}">
              <a16:creationId xmlns:a16="http://schemas.microsoft.com/office/drawing/2014/main" id="{10B053ED-2C31-46D2-B687-9B26C8233D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5" name="연결선: 꺾임 404">
          <a:extLst>
            <a:ext uri="{FF2B5EF4-FFF2-40B4-BE49-F238E27FC236}">
              <a16:creationId xmlns:a16="http://schemas.microsoft.com/office/drawing/2014/main" id="{727F61E8-B727-4560-BAF1-959366B3BF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6" name="연결선: 꺾임 405">
          <a:extLst>
            <a:ext uri="{FF2B5EF4-FFF2-40B4-BE49-F238E27FC236}">
              <a16:creationId xmlns:a16="http://schemas.microsoft.com/office/drawing/2014/main" id="{A078BB73-F9ED-4168-AE61-17B2503FDD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7" name="연결선: 꺾임 406">
          <a:extLst>
            <a:ext uri="{FF2B5EF4-FFF2-40B4-BE49-F238E27FC236}">
              <a16:creationId xmlns:a16="http://schemas.microsoft.com/office/drawing/2014/main" id="{F7030ABA-5EE7-419F-B02E-27C3812F4FD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8" name="연결선: 꺾임 407">
          <a:extLst>
            <a:ext uri="{FF2B5EF4-FFF2-40B4-BE49-F238E27FC236}">
              <a16:creationId xmlns:a16="http://schemas.microsoft.com/office/drawing/2014/main" id="{D17E1AFC-BB45-483F-A4DC-C310E382E9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09" name="연결선: 꺾임 408">
          <a:extLst>
            <a:ext uri="{FF2B5EF4-FFF2-40B4-BE49-F238E27FC236}">
              <a16:creationId xmlns:a16="http://schemas.microsoft.com/office/drawing/2014/main" id="{2066FEEF-41CF-40E6-8AC4-CC8B2CBE8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0" name="연결선: 꺾임 409">
          <a:extLst>
            <a:ext uri="{FF2B5EF4-FFF2-40B4-BE49-F238E27FC236}">
              <a16:creationId xmlns:a16="http://schemas.microsoft.com/office/drawing/2014/main" id="{F02B305A-0F54-46D3-94DB-F4ECF76A271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1" name="연결선: 꺾임 410">
          <a:extLst>
            <a:ext uri="{FF2B5EF4-FFF2-40B4-BE49-F238E27FC236}">
              <a16:creationId xmlns:a16="http://schemas.microsoft.com/office/drawing/2014/main" id="{DFCE6782-956B-45E2-B4DB-808BE26FFB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2" name="연결선: 꺾임 411">
          <a:extLst>
            <a:ext uri="{FF2B5EF4-FFF2-40B4-BE49-F238E27FC236}">
              <a16:creationId xmlns:a16="http://schemas.microsoft.com/office/drawing/2014/main" id="{87954803-7B32-463A-83E1-02AE610596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3" name="연결선: 꺾임 412">
          <a:extLst>
            <a:ext uri="{FF2B5EF4-FFF2-40B4-BE49-F238E27FC236}">
              <a16:creationId xmlns:a16="http://schemas.microsoft.com/office/drawing/2014/main" id="{84659006-7957-47B2-BC85-0A8F2F188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4" name="연결선: 꺾임 413">
          <a:extLst>
            <a:ext uri="{FF2B5EF4-FFF2-40B4-BE49-F238E27FC236}">
              <a16:creationId xmlns:a16="http://schemas.microsoft.com/office/drawing/2014/main" id="{28E8C85A-F333-4E08-B605-C8185C19F9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5" name="연결선: 꺾임 414">
          <a:extLst>
            <a:ext uri="{FF2B5EF4-FFF2-40B4-BE49-F238E27FC236}">
              <a16:creationId xmlns:a16="http://schemas.microsoft.com/office/drawing/2014/main" id="{99BDFAC3-261A-4D66-AC95-70326722E3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9" name="연결선: 꺾임 2438">
          <a:extLst>
            <a:ext uri="{FF2B5EF4-FFF2-40B4-BE49-F238E27FC236}">
              <a16:creationId xmlns:a16="http://schemas.microsoft.com/office/drawing/2014/main" id="{7EE5E074-7377-4809-AC39-656C729390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0" name="연결선: 꺾임 2439">
          <a:extLst>
            <a:ext uri="{FF2B5EF4-FFF2-40B4-BE49-F238E27FC236}">
              <a16:creationId xmlns:a16="http://schemas.microsoft.com/office/drawing/2014/main" id="{62744F84-AA34-45A8-9025-457BDD5F7B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1" name="연결선: 꺾임 2440">
          <a:extLst>
            <a:ext uri="{FF2B5EF4-FFF2-40B4-BE49-F238E27FC236}">
              <a16:creationId xmlns:a16="http://schemas.microsoft.com/office/drawing/2014/main" id="{1CABCD50-EBAE-4C2B-884E-313E05061F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2" name="연결선: 꺾임 2441">
          <a:extLst>
            <a:ext uri="{FF2B5EF4-FFF2-40B4-BE49-F238E27FC236}">
              <a16:creationId xmlns:a16="http://schemas.microsoft.com/office/drawing/2014/main" id="{C37B9F8C-AD06-4B1C-AD4A-79F31A45C7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3" name="연결선: 꺾임 2442">
          <a:extLst>
            <a:ext uri="{FF2B5EF4-FFF2-40B4-BE49-F238E27FC236}">
              <a16:creationId xmlns:a16="http://schemas.microsoft.com/office/drawing/2014/main" id="{9E230F36-141C-425B-AF7C-322F2E3EBD8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4" name="연결선: 꺾임 2443">
          <a:extLst>
            <a:ext uri="{FF2B5EF4-FFF2-40B4-BE49-F238E27FC236}">
              <a16:creationId xmlns:a16="http://schemas.microsoft.com/office/drawing/2014/main" id="{92552824-7D1E-49E8-A8D4-F28D30EB1FD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5" name="연결선: 꺾임 2444">
          <a:extLst>
            <a:ext uri="{FF2B5EF4-FFF2-40B4-BE49-F238E27FC236}">
              <a16:creationId xmlns:a16="http://schemas.microsoft.com/office/drawing/2014/main" id="{A397691C-240D-4AE1-8C7A-C1CE0A231E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6" name="연결선: 꺾임 2445">
          <a:extLst>
            <a:ext uri="{FF2B5EF4-FFF2-40B4-BE49-F238E27FC236}">
              <a16:creationId xmlns:a16="http://schemas.microsoft.com/office/drawing/2014/main" id="{0AFCF809-9607-49CD-B37C-8ADBEF04B2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7" name="연결선: 꺾임 2446">
          <a:extLst>
            <a:ext uri="{FF2B5EF4-FFF2-40B4-BE49-F238E27FC236}">
              <a16:creationId xmlns:a16="http://schemas.microsoft.com/office/drawing/2014/main" id="{294FBE88-CD98-4DE9-8054-2510A6E0DF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8" name="연결선: 꺾임 2447">
          <a:extLst>
            <a:ext uri="{FF2B5EF4-FFF2-40B4-BE49-F238E27FC236}">
              <a16:creationId xmlns:a16="http://schemas.microsoft.com/office/drawing/2014/main" id="{E17E48F8-F748-4517-A5FB-72FCE581B5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49" name="연결선: 꺾임 2448">
          <a:extLst>
            <a:ext uri="{FF2B5EF4-FFF2-40B4-BE49-F238E27FC236}">
              <a16:creationId xmlns:a16="http://schemas.microsoft.com/office/drawing/2014/main" id="{7DBE1813-FAD2-4990-AC76-02FAADF7BA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0" name="연결선: 꺾임 2449">
          <a:extLst>
            <a:ext uri="{FF2B5EF4-FFF2-40B4-BE49-F238E27FC236}">
              <a16:creationId xmlns:a16="http://schemas.microsoft.com/office/drawing/2014/main" id="{0BB36D6B-B021-4746-AF88-19479F87BD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1" name="연결선: 꺾임 2450">
          <a:extLst>
            <a:ext uri="{FF2B5EF4-FFF2-40B4-BE49-F238E27FC236}">
              <a16:creationId xmlns:a16="http://schemas.microsoft.com/office/drawing/2014/main" id="{71D6878D-1362-43D5-B25F-593B13A3D0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2" name="연결선: 꺾임 2451">
          <a:extLst>
            <a:ext uri="{FF2B5EF4-FFF2-40B4-BE49-F238E27FC236}">
              <a16:creationId xmlns:a16="http://schemas.microsoft.com/office/drawing/2014/main" id="{B68E4374-E093-4E88-8F44-877D318DC7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3" name="연결선: 꺾임 2452">
          <a:extLst>
            <a:ext uri="{FF2B5EF4-FFF2-40B4-BE49-F238E27FC236}">
              <a16:creationId xmlns:a16="http://schemas.microsoft.com/office/drawing/2014/main" id="{8E4A6CF9-D6F4-4E30-9D7B-49A9AC71D93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4" name="연결선: 꺾임 2453">
          <a:extLst>
            <a:ext uri="{FF2B5EF4-FFF2-40B4-BE49-F238E27FC236}">
              <a16:creationId xmlns:a16="http://schemas.microsoft.com/office/drawing/2014/main" id="{05BC381C-27C0-4F45-858E-860D104145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5" name="연결선: 꺾임 2454">
          <a:extLst>
            <a:ext uri="{FF2B5EF4-FFF2-40B4-BE49-F238E27FC236}">
              <a16:creationId xmlns:a16="http://schemas.microsoft.com/office/drawing/2014/main" id="{B283DDFF-13EC-478D-94EA-8833476951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6" name="연결선: 꺾임 2455">
          <a:extLst>
            <a:ext uri="{FF2B5EF4-FFF2-40B4-BE49-F238E27FC236}">
              <a16:creationId xmlns:a16="http://schemas.microsoft.com/office/drawing/2014/main" id="{FCAC5C32-769E-42FA-A450-F1340274F3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7" name="연결선: 꺾임 2456">
          <a:extLst>
            <a:ext uri="{FF2B5EF4-FFF2-40B4-BE49-F238E27FC236}">
              <a16:creationId xmlns:a16="http://schemas.microsoft.com/office/drawing/2014/main" id="{EFF6F5C3-5C37-4AC5-8591-F55B35E1086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7" name="연결선: 꺾임 18016">
          <a:extLst>
            <a:ext uri="{FF2B5EF4-FFF2-40B4-BE49-F238E27FC236}">
              <a16:creationId xmlns:a16="http://schemas.microsoft.com/office/drawing/2014/main" id="{418846E8-84F0-5608-8D7A-11F91BC21D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8" name="연결선: 꺾임 18017">
          <a:extLst>
            <a:ext uri="{FF2B5EF4-FFF2-40B4-BE49-F238E27FC236}">
              <a16:creationId xmlns:a16="http://schemas.microsoft.com/office/drawing/2014/main" id="{625A4114-888E-C6F9-FBE3-82739219AB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6" name="연결선: 꺾임 55">
          <a:extLst>
            <a:ext uri="{FF2B5EF4-FFF2-40B4-BE49-F238E27FC236}">
              <a16:creationId xmlns:a16="http://schemas.microsoft.com/office/drawing/2014/main" id="{16883BA1-B47F-4FA9-A2FA-98446F70DB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7" name="연결선: 꺾임 56">
          <a:extLst>
            <a:ext uri="{FF2B5EF4-FFF2-40B4-BE49-F238E27FC236}">
              <a16:creationId xmlns:a16="http://schemas.microsoft.com/office/drawing/2014/main" id="{9014DBE1-5DB6-F5A5-16A8-AFCE17FBC27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8" name="연결선: 꺾임 57">
          <a:extLst>
            <a:ext uri="{FF2B5EF4-FFF2-40B4-BE49-F238E27FC236}">
              <a16:creationId xmlns:a16="http://schemas.microsoft.com/office/drawing/2014/main" id="{7D454854-469C-CF4E-16D0-95B26ECE34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9" name="연결선: 꺾임 58">
          <a:extLst>
            <a:ext uri="{FF2B5EF4-FFF2-40B4-BE49-F238E27FC236}">
              <a16:creationId xmlns:a16="http://schemas.microsoft.com/office/drawing/2014/main" id="{DEE40DA5-04D7-D643-69D9-861F381F34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8" name="연결선: 꺾임 17987">
          <a:extLst>
            <a:ext uri="{FF2B5EF4-FFF2-40B4-BE49-F238E27FC236}">
              <a16:creationId xmlns:a16="http://schemas.microsoft.com/office/drawing/2014/main" id="{A62002F7-107D-F55B-4AF2-D362F762637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9" name="연결선: 꺾임 17988">
          <a:extLst>
            <a:ext uri="{FF2B5EF4-FFF2-40B4-BE49-F238E27FC236}">
              <a16:creationId xmlns:a16="http://schemas.microsoft.com/office/drawing/2014/main" id="{8E058699-DF0C-48AB-CE95-1B9E082B4B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0" name="연결선: 꺾임 17989">
          <a:extLst>
            <a:ext uri="{FF2B5EF4-FFF2-40B4-BE49-F238E27FC236}">
              <a16:creationId xmlns:a16="http://schemas.microsoft.com/office/drawing/2014/main" id="{5DC20FC1-EFC2-3582-1323-817DBFB31B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1" name="연결선: 꺾임 17990">
          <a:extLst>
            <a:ext uri="{FF2B5EF4-FFF2-40B4-BE49-F238E27FC236}">
              <a16:creationId xmlns:a16="http://schemas.microsoft.com/office/drawing/2014/main" id="{FB8D248A-6ECB-203F-1811-E4B3BF6AD7D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0" name="연결선: 꺾임 17999">
          <a:extLst>
            <a:ext uri="{FF2B5EF4-FFF2-40B4-BE49-F238E27FC236}">
              <a16:creationId xmlns:a16="http://schemas.microsoft.com/office/drawing/2014/main" id="{E37B1BA7-7D51-557C-F0BB-3D5635C438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1" name="연결선: 꺾임 18000">
          <a:extLst>
            <a:ext uri="{FF2B5EF4-FFF2-40B4-BE49-F238E27FC236}">
              <a16:creationId xmlns:a16="http://schemas.microsoft.com/office/drawing/2014/main" id="{30FE94A4-A415-3CE0-8697-FDCCB09BEA0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2" name="연결선: 꺾임 18001">
          <a:extLst>
            <a:ext uri="{FF2B5EF4-FFF2-40B4-BE49-F238E27FC236}">
              <a16:creationId xmlns:a16="http://schemas.microsoft.com/office/drawing/2014/main" id="{9D160F38-F7A3-3306-FC88-434E8AA458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3" name="연결선: 꺾임 18002">
          <a:extLst>
            <a:ext uri="{FF2B5EF4-FFF2-40B4-BE49-F238E27FC236}">
              <a16:creationId xmlns:a16="http://schemas.microsoft.com/office/drawing/2014/main" id="{E095F79C-BD51-CDBD-31DE-5F3E12A545E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0" name="연결선: 꺾임 9">
          <a:extLst>
            <a:ext uri="{FF2B5EF4-FFF2-40B4-BE49-F238E27FC236}">
              <a16:creationId xmlns:a16="http://schemas.microsoft.com/office/drawing/2014/main" id="{8F328A5F-3F4A-1709-4367-73A3F08A72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1" name="연결선: 꺾임 10">
          <a:extLst>
            <a:ext uri="{FF2B5EF4-FFF2-40B4-BE49-F238E27FC236}">
              <a16:creationId xmlns:a16="http://schemas.microsoft.com/office/drawing/2014/main" id="{B9B7B3CD-BF1C-68D9-BC09-650EB3CEA3B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 name="연결선: 꺾임 11">
          <a:extLst>
            <a:ext uri="{FF2B5EF4-FFF2-40B4-BE49-F238E27FC236}">
              <a16:creationId xmlns:a16="http://schemas.microsoft.com/office/drawing/2014/main" id="{374C7DB2-420F-A888-C09D-6087F9ED32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 name="연결선: 꺾임 12">
          <a:extLst>
            <a:ext uri="{FF2B5EF4-FFF2-40B4-BE49-F238E27FC236}">
              <a16:creationId xmlns:a16="http://schemas.microsoft.com/office/drawing/2014/main" id="{D5AB6EE2-89B7-2157-1B6B-245A2D0C402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2" name="연결선: 꺾임 21">
          <a:extLst>
            <a:ext uri="{FF2B5EF4-FFF2-40B4-BE49-F238E27FC236}">
              <a16:creationId xmlns:a16="http://schemas.microsoft.com/office/drawing/2014/main" id="{5441FF08-7D26-E4AE-D846-EBC2FFA55A8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 name="연결선: 꺾임 22">
          <a:extLst>
            <a:ext uri="{FF2B5EF4-FFF2-40B4-BE49-F238E27FC236}">
              <a16:creationId xmlns:a16="http://schemas.microsoft.com/office/drawing/2014/main" id="{BDB2FD4C-8150-9805-26D5-014BC8454C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 name="연결선: 꺾임 23">
          <a:extLst>
            <a:ext uri="{FF2B5EF4-FFF2-40B4-BE49-F238E27FC236}">
              <a16:creationId xmlns:a16="http://schemas.microsoft.com/office/drawing/2014/main" id="{74CA71E8-DB64-AA3F-1123-F219DFBD28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5" name="연결선: 꺾임 24">
          <a:extLst>
            <a:ext uri="{FF2B5EF4-FFF2-40B4-BE49-F238E27FC236}">
              <a16:creationId xmlns:a16="http://schemas.microsoft.com/office/drawing/2014/main" id="{EFB4A76D-E56B-580C-9440-45486D2E63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4" name="연결선: 꺾임 33">
          <a:extLst>
            <a:ext uri="{FF2B5EF4-FFF2-40B4-BE49-F238E27FC236}">
              <a16:creationId xmlns:a16="http://schemas.microsoft.com/office/drawing/2014/main" id="{2661E94A-B200-24D3-23B4-9E7D2D5C137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5" name="연결선: 꺾임 34">
          <a:extLst>
            <a:ext uri="{FF2B5EF4-FFF2-40B4-BE49-F238E27FC236}">
              <a16:creationId xmlns:a16="http://schemas.microsoft.com/office/drawing/2014/main" id="{2B69EE4B-20C7-6541-9FEC-D0A30ED05B5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6" name="연결선: 꺾임 35">
          <a:extLst>
            <a:ext uri="{FF2B5EF4-FFF2-40B4-BE49-F238E27FC236}">
              <a16:creationId xmlns:a16="http://schemas.microsoft.com/office/drawing/2014/main" id="{C9B518C4-7B28-DDED-30B7-C8B4E78877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7" name="연결선: 꺾임 36">
          <a:extLst>
            <a:ext uri="{FF2B5EF4-FFF2-40B4-BE49-F238E27FC236}">
              <a16:creationId xmlns:a16="http://schemas.microsoft.com/office/drawing/2014/main" id="{80430313-99AC-BA5C-4FF7-3ECC8F275F3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6" name="연결선: 꺾임 45">
          <a:extLst>
            <a:ext uri="{FF2B5EF4-FFF2-40B4-BE49-F238E27FC236}">
              <a16:creationId xmlns:a16="http://schemas.microsoft.com/office/drawing/2014/main" id="{82D0279B-6215-082A-BC66-AA996AE39F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8" name="연결선: 꺾임 47">
          <a:extLst>
            <a:ext uri="{FF2B5EF4-FFF2-40B4-BE49-F238E27FC236}">
              <a16:creationId xmlns:a16="http://schemas.microsoft.com/office/drawing/2014/main" id="{185B4061-A139-4B72-6EC1-72924A8C0D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9" name="연결선: 꺾임 48">
          <a:extLst>
            <a:ext uri="{FF2B5EF4-FFF2-40B4-BE49-F238E27FC236}">
              <a16:creationId xmlns:a16="http://schemas.microsoft.com/office/drawing/2014/main" id="{B8D09EC3-340F-FF59-78AE-773C586614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0" name="연결선: 꺾임 49">
          <a:extLst>
            <a:ext uri="{FF2B5EF4-FFF2-40B4-BE49-F238E27FC236}">
              <a16:creationId xmlns:a16="http://schemas.microsoft.com/office/drawing/2014/main" id="{B5404D34-F7A6-5FA6-09EB-7B1E4B3983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3" name="연결선: 꺾임 62">
          <a:extLst>
            <a:ext uri="{FF2B5EF4-FFF2-40B4-BE49-F238E27FC236}">
              <a16:creationId xmlns:a16="http://schemas.microsoft.com/office/drawing/2014/main" id="{2599FB97-6785-675A-F1EF-1BDB706DD9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4" name="연결선: 꺾임 17983">
          <a:extLst>
            <a:ext uri="{FF2B5EF4-FFF2-40B4-BE49-F238E27FC236}">
              <a16:creationId xmlns:a16="http://schemas.microsoft.com/office/drawing/2014/main" id="{C6B7422D-7B68-31A8-D032-F52242F2E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5" name="연결선: 꺾임 17984">
          <a:extLst>
            <a:ext uri="{FF2B5EF4-FFF2-40B4-BE49-F238E27FC236}">
              <a16:creationId xmlns:a16="http://schemas.microsoft.com/office/drawing/2014/main" id="{88CC398C-82C6-50EC-D125-7D4D3FD02F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6" name="연결선: 꺾임 17985">
          <a:extLst>
            <a:ext uri="{FF2B5EF4-FFF2-40B4-BE49-F238E27FC236}">
              <a16:creationId xmlns:a16="http://schemas.microsoft.com/office/drawing/2014/main" id="{DB54C69D-5E7D-7F2A-762A-1C882462219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1" name="연결선: 꺾임 18010">
          <a:extLst>
            <a:ext uri="{FF2B5EF4-FFF2-40B4-BE49-F238E27FC236}">
              <a16:creationId xmlns:a16="http://schemas.microsoft.com/office/drawing/2014/main" id="{043E480F-400D-00E0-B33D-0062BB1F81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2" name="연결선: 꺾임 18011">
          <a:extLst>
            <a:ext uri="{FF2B5EF4-FFF2-40B4-BE49-F238E27FC236}">
              <a16:creationId xmlns:a16="http://schemas.microsoft.com/office/drawing/2014/main" id="{41D09B74-AF00-F405-DFFE-A9159DA294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3" name="연결선: 꺾임 18012">
          <a:extLst>
            <a:ext uri="{FF2B5EF4-FFF2-40B4-BE49-F238E27FC236}">
              <a16:creationId xmlns:a16="http://schemas.microsoft.com/office/drawing/2014/main" id="{9EB684BF-53C4-A40A-BBB1-96FF6B0C5B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4" name="연결선: 꺾임 18013">
          <a:extLst>
            <a:ext uri="{FF2B5EF4-FFF2-40B4-BE49-F238E27FC236}">
              <a16:creationId xmlns:a16="http://schemas.microsoft.com/office/drawing/2014/main" id="{166C0AC1-62AE-F14F-43D9-9D4285683B9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5" name="연결선: 꺾임 18024">
          <a:extLst>
            <a:ext uri="{FF2B5EF4-FFF2-40B4-BE49-F238E27FC236}">
              <a16:creationId xmlns:a16="http://schemas.microsoft.com/office/drawing/2014/main" id="{787CE6AD-D869-0A83-B5F0-24007421140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6" name="연결선: 꺾임 18025">
          <a:extLst>
            <a:ext uri="{FF2B5EF4-FFF2-40B4-BE49-F238E27FC236}">
              <a16:creationId xmlns:a16="http://schemas.microsoft.com/office/drawing/2014/main" id="{6B0166F4-EDB7-6BB9-DDD8-1B4857EF6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7" name="연결선: 꺾임 18026">
          <a:extLst>
            <a:ext uri="{FF2B5EF4-FFF2-40B4-BE49-F238E27FC236}">
              <a16:creationId xmlns:a16="http://schemas.microsoft.com/office/drawing/2014/main" id="{D797C372-F994-A804-A538-D4E53B01A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28" name="연결선: 꺾임 18027">
          <a:extLst>
            <a:ext uri="{FF2B5EF4-FFF2-40B4-BE49-F238E27FC236}">
              <a16:creationId xmlns:a16="http://schemas.microsoft.com/office/drawing/2014/main" id="{55816364-7E1C-91BF-5A7F-69C150B667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7" name="연결선: 꺾임 18036">
          <a:extLst>
            <a:ext uri="{FF2B5EF4-FFF2-40B4-BE49-F238E27FC236}">
              <a16:creationId xmlns:a16="http://schemas.microsoft.com/office/drawing/2014/main" id="{CBF18D1D-D3D2-FCB1-2EA9-2B2C164AAA0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8" name="연결선: 꺾임 18037">
          <a:extLst>
            <a:ext uri="{FF2B5EF4-FFF2-40B4-BE49-F238E27FC236}">
              <a16:creationId xmlns:a16="http://schemas.microsoft.com/office/drawing/2014/main" id="{8C2ECE4D-B679-5E51-5A89-EBF66BA59B5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39" name="연결선: 꺾임 18038">
          <a:extLst>
            <a:ext uri="{FF2B5EF4-FFF2-40B4-BE49-F238E27FC236}">
              <a16:creationId xmlns:a16="http://schemas.microsoft.com/office/drawing/2014/main" id="{83D91B72-C43F-1EEE-42B5-52F7212285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0" name="연결선: 꺾임 18039">
          <a:extLst>
            <a:ext uri="{FF2B5EF4-FFF2-40B4-BE49-F238E27FC236}">
              <a16:creationId xmlns:a16="http://schemas.microsoft.com/office/drawing/2014/main" id="{F17B406A-831A-B9A1-FF38-AC267F9B5C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29" name="연결선: 꺾임 128">
          <a:extLst>
            <a:ext uri="{FF2B5EF4-FFF2-40B4-BE49-F238E27FC236}">
              <a16:creationId xmlns:a16="http://schemas.microsoft.com/office/drawing/2014/main" id="{CA78AA4C-35A8-174E-8E5B-A39308EC59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0" name="연결선: 꺾임 129">
          <a:extLst>
            <a:ext uri="{FF2B5EF4-FFF2-40B4-BE49-F238E27FC236}">
              <a16:creationId xmlns:a16="http://schemas.microsoft.com/office/drawing/2014/main" id="{18CFE9CD-E80B-7A75-3ED1-0EFECF0455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1" name="연결선: 꺾임 130">
          <a:extLst>
            <a:ext uri="{FF2B5EF4-FFF2-40B4-BE49-F238E27FC236}">
              <a16:creationId xmlns:a16="http://schemas.microsoft.com/office/drawing/2014/main" id="{6490D71C-5161-C33E-3724-7A753F4A3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32" name="연결선: 꺾임 131">
          <a:extLst>
            <a:ext uri="{FF2B5EF4-FFF2-40B4-BE49-F238E27FC236}">
              <a16:creationId xmlns:a16="http://schemas.microsoft.com/office/drawing/2014/main" id="{5711185B-4067-0F4D-A906-9DDD8E68813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1" name="연결선: 꺾임 140">
          <a:extLst>
            <a:ext uri="{FF2B5EF4-FFF2-40B4-BE49-F238E27FC236}">
              <a16:creationId xmlns:a16="http://schemas.microsoft.com/office/drawing/2014/main" id="{CBF52E7D-5A5C-F5D9-A8F5-CC296E1DD0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2" name="연결선: 꺾임 141">
          <a:extLst>
            <a:ext uri="{FF2B5EF4-FFF2-40B4-BE49-F238E27FC236}">
              <a16:creationId xmlns:a16="http://schemas.microsoft.com/office/drawing/2014/main" id="{C9E07900-49FD-8350-B415-C8C38499B4A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2" name="연결선: 꺾임 2431">
          <a:extLst>
            <a:ext uri="{FF2B5EF4-FFF2-40B4-BE49-F238E27FC236}">
              <a16:creationId xmlns:a16="http://schemas.microsoft.com/office/drawing/2014/main" id="{89DBC82B-1422-05CB-3DED-A79FCFE3E42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3" name="연결선: 꺾임 2432">
          <a:extLst>
            <a:ext uri="{FF2B5EF4-FFF2-40B4-BE49-F238E27FC236}">
              <a16:creationId xmlns:a16="http://schemas.microsoft.com/office/drawing/2014/main" id="{C9CEFB68-2D7E-AA04-EA5B-C675303532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1" name="연결선: 꺾임 2460">
          <a:extLst>
            <a:ext uri="{FF2B5EF4-FFF2-40B4-BE49-F238E27FC236}">
              <a16:creationId xmlns:a16="http://schemas.microsoft.com/office/drawing/2014/main" id="{EB5F1B33-45EC-9491-1767-AB36A1DC128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2" name="연결선: 꺾임 2461">
          <a:extLst>
            <a:ext uri="{FF2B5EF4-FFF2-40B4-BE49-F238E27FC236}">
              <a16:creationId xmlns:a16="http://schemas.microsoft.com/office/drawing/2014/main" id="{8B2C36FA-AC6D-ABA2-0265-F0B4B0FB3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3" name="연결선: 꺾임 2462">
          <a:extLst>
            <a:ext uri="{FF2B5EF4-FFF2-40B4-BE49-F238E27FC236}">
              <a16:creationId xmlns:a16="http://schemas.microsoft.com/office/drawing/2014/main" id="{2711D5D9-5829-9465-F39C-5778D0C18D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4" name="연결선: 꺾임 2463">
          <a:extLst>
            <a:ext uri="{FF2B5EF4-FFF2-40B4-BE49-F238E27FC236}">
              <a16:creationId xmlns:a16="http://schemas.microsoft.com/office/drawing/2014/main" id="{3D041758-6A1E-C54F-11F6-715708FC8F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3" name="연결선: 꺾임 2472">
          <a:extLst>
            <a:ext uri="{FF2B5EF4-FFF2-40B4-BE49-F238E27FC236}">
              <a16:creationId xmlns:a16="http://schemas.microsoft.com/office/drawing/2014/main" id="{9DA2BFD1-FC00-1D84-F8DC-7E3B5FD751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4" name="연결선: 꺾임 2473">
          <a:extLst>
            <a:ext uri="{FF2B5EF4-FFF2-40B4-BE49-F238E27FC236}">
              <a16:creationId xmlns:a16="http://schemas.microsoft.com/office/drawing/2014/main" id="{6FF8BA59-4404-729A-8CB3-2C35F23DB6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5" name="연결선: 꺾임 2474">
          <a:extLst>
            <a:ext uri="{FF2B5EF4-FFF2-40B4-BE49-F238E27FC236}">
              <a16:creationId xmlns:a16="http://schemas.microsoft.com/office/drawing/2014/main" id="{BEEF6F7C-2303-8DAB-EB21-31FD7E8E10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6" name="연결선: 꺾임 2475">
          <a:extLst>
            <a:ext uri="{FF2B5EF4-FFF2-40B4-BE49-F238E27FC236}">
              <a16:creationId xmlns:a16="http://schemas.microsoft.com/office/drawing/2014/main" id="{3F372A15-BA18-EE93-2D41-9CD1863769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 name="연결선: 꺾임 16">
          <a:extLst>
            <a:ext uri="{FF2B5EF4-FFF2-40B4-BE49-F238E27FC236}">
              <a16:creationId xmlns:a16="http://schemas.microsoft.com/office/drawing/2014/main" id="{FD2349B7-33D5-D919-7E74-DF66D5973BC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 name="연결선: 꺾임 17">
          <a:extLst>
            <a:ext uri="{FF2B5EF4-FFF2-40B4-BE49-F238E27FC236}">
              <a16:creationId xmlns:a16="http://schemas.microsoft.com/office/drawing/2014/main" id="{9B3F9382-4068-DFE9-DCDF-503EC8BC63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9" name="연결선: 꺾임 18">
          <a:extLst>
            <a:ext uri="{FF2B5EF4-FFF2-40B4-BE49-F238E27FC236}">
              <a16:creationId xmlns:a16="http://schemas.microsoft.com/office/drawing/2014/main" id="{FE9CC759-D4CF-9E0B-85D0-CF72334FD8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0" name="연결선: 꺾임 19">
          <a:extLst>
            <a:ext uri="{FF2B5EF4-FFF2-40B4-BE49-F238E27FC236}">
              <a16:creationId xmlns:a16="http://schemas.microsoft.com/office/drawing/2014/main" id="{1823278D-3F10-2E31-D8C3-5774CFAD61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1" name="연결선: 꺾임 20">
          <a:extLst>
            <a:ext uri="{FF2B5EF4-FFF2-40B4-BE49-F238E27FC236}">
              <a16:creationId xmlns:a16="http://schemas.microsoft.com/office/drawing/2014/main" id="{60FE815B-AE28-2A86-02F3-6458D33AE8C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1" name="연결선: 꺾임 40">
          <a:extLst>
            <a:ext uri="{FF2B5EF4-FFF2-40B4-BE49-F238E27FC236}">
              <a16:creationId xmlns:a16="http://schemas.microsoft.com/office/drawing/2014/main" id="{F77DFC86-61CA-949C-9460-5702E2CAFFC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 name="연결선: 꺾임 41">
          <a:extLst>
            <a:ext uri="{FF2B5EF4-FFF2-40B4-BE49-F238E27FC236}">
              <a16:creationId xmlns:a16="http://schemas.microsoft.com/office/drawing/2014/main" id="{E4C58E57-5A33-63E7-9519-F7B6B173CE7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 name="연결선: 꺾임 42">
          <a:extLst>
            <a:ext uri="{FF2B5EF4-FFF2-40B4-BE49-F238E27FC236}">
              <a16:creationId xmlns:a16="http://schemas.microsoft.com/office/drawing/2014/main" id="{2369B590-3982-42B6-59ED-4E0DD706B5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 name="연결선: 꺾임 43">
          <a:extLst>
            <a:ext uri="{FF2B5EF4-FFF2-40B4-BE49-F238E27FC236}">
              <a16:creationId xmlns:a16="http://schemas.microsoft.com/office/drawing/2014/main" id="{3AAD2CF0-9DB7-64FA-B2B8-263B939F43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5" name="연결선: 꺾임 44">
          <a:extLst>
            <a:ext uri="{FF2B5EF4-FFF2-40B4-BE49-F238E27FC236}">
              <a16:creationId xmlns:a16="http://schemas.microsoft.com/office/drawing/2014/main" id="{81B395BE-384D-D85F-DE4D-BC506A05EB7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3" name="연결선: 꺾임 17992">
          <a:extLst>
            <a:ext uri="{FF2B5EF4-FFF2-40B4-BE49-F238E27FC236}">
              <a16:creationId xmlns:a16="http://schemas.microsoft.com/office/drawing/2014/main" id="{795590BD-F7BE-712A-1577-D2893B53E7E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4" name="연결선: 꺾임 17993">
          <a:extLst>
            <a:ext uri="{FF2B5EF4-FFF2-40B4-BE49-F238E27FC236}">
              <a16:creationId xmlns:a16="http://schemas.microsoft.com/office/drawing/2014/main" id="{E993EE36-4F4E-1037-DD10-75D06EE0B41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5" name="연결선: 꺾임 17994">
          <a:extLst>
            <a:ext uri="{FF2B5EF4-FFF2-40B4-BE49-F238E27FC236}">
              <a16:creationId xmlns:a16="http://schemas.microsoft.com/office/drawing/2014/main" id="{DFF8BFB9-7974-B467-9343-C8AF2B90A2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6" name="연결선: 꺾임 17995">
          <a:extLst>
            <a:ext uri="{FF2B5EF4-FFF2-40B4-BE49-F238E27FC236}">
              <a16:creationId xmlns:a16="http://schemas.microsoft.com/office/drawing/2014/main" id="{F900FA52-4B3D-BD85-D53E-B51858F34BB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7" name="연결선: 꺾임 17996">
          <a:extLst>
            <a:ext uri="{FF2B5EF4-FFF2-40B4-BE49-F238E27FC236}">
              <a16:creationId xmlns:a16="http://schemas.microsoft.com/office/drawing/2014/main" id="{E2D4A4D6-668D-299E-AE77-84D1BAD83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67" name="연결선: 꺾임 18066">
          <a:extLst>
            <a:ext uri="{FF2B5EF4-FFF2-40B4-BE49-F238E27FC236}">
              <a16:creationId xmlns:a16="http://schemas.microsoft.com/office/drawing/2014/main" id="{D98E1A29-8305-5DCC-CE73-1C75B44B29A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1" name="연결선: 꺾임 18100">
          <a:extLst>
            <a:ext uri="{FF2B5EF4-FFF2-40B4-BE49-F238E27FC236}">
              <a16:creationId xmlns:a16="http://schemas.microsoft.com/office/drawing/2014/main" id="{208F49C8-798D-17B9-2837-D4EA53A5B3F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5" name="연결선: 꺾임 18134">
          <a:extLst>
            <a:ext uri="{FF2B5EF4-FFF2-40B4-BE49-F238E27FC236}">
              <a16:creationId xmlns:a16="http://schemas.microsoft.com/office/drawing/2014/main" id="{AE7FA2D0-33C8-E450-F07B-3291D0892E2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9" name="연결선: 꺾임 18138">
          <a:extLst>
            <a:ext uri="{FF2B5EF4-FFF2-40B4-BE49-F238E27FC236}">
              <a16:creationId xmlns:a16="http://schemas.microsoft.com/office/drawing/2014/main" id="{98BF0720-C8CE-2B3E-7543-571A0599E4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0" name="연결선: 꺾임 18139">
          <a:extLst>
            <a:ext uri="{FF2B5EF4-FFF2-40B4-BE49-F238E27FC236}">
              <a16:creationId xmlns:a16="http://schemas.microsoft.com/office/drawing/2014/main" id="{122E2550-994B-D55A-8B94-9C343E8E604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1" name="연결선: 꺾임 18140">
          <a:extLst>
            <a:ext uri="{FF2B5EF4-FFF2-40B4-BE49-F238E27FC236}">
              <a16:creationId xmlns:a16="http://schemas.microsoft.com/office/drawing/2014/main" id="{899BD83E-4055-9F59-EEA6-28A4EDC954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2" name="연결선: 꺾임 18141">
          <a:extLst>
            <a:ext uri="{FF2B5EF4-FFF2-40B4-BE49-F238E27FC236}">
              <a16:creationId xmlns:a16="http://schemas.microsoft.com/office/drawing/2014/main" id="{F8AA0B61-FF85-1EE7-893B-4FECD10922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3" name="연결선: 꺾임 18142">
          <a:extLst>
            <a:ext uri="{FF2B5EF4-FFF2-40B4-BE49-F238E27FC236}">
              <a16:creationId xmlns:a16="http://schemas.microsoft.com/office/drawing/2014/main" id="{2318E65D-6797-21F9-FCA4-0B52D64694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4" name="연결선: 꺾임 18143">
          <a:extLst>
            <a:ext uri="{FF2B5EF4-FFF2-40B4-BE49-F238E27FC236}">
              <a16:creationId xmlns:a16="http://schemas.microsoft.com/office/drawing/2014/main" id="{0490BD5B-963F-4C8D-6CA3-910D17B51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5" name="연결선: 꺾임 18144">
          <a:extLst>
            <a:ext uri="{FF2B5EF4-FFF2-40B4-BE49-F238E27FC236}">
              <a16:creationId xmlns:a16="http://schemas.microsoft.com/office/drawing/2014/main" id="{46523323-4C8F-5ADD-718A-E6C5E3B8D9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6" name="연결선: 꺾임 18145">
          <a:extLst>
            <a:ext uri="{FF2B5EF4-FFF2-40B4-BE49-F238E27FC236}">
              <a16:creationId xmlns:a16="http://schemas.microsoft.com/office/drawing/2014/main" id="{19A6433B-F694-2B86-BC94-D0420D6B72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7" name="연결선: 꺾임 18146">
          <a:extLst>
            <a:ext uri="{FF2B5EF4-FFF2-40B4-BE49-F238E27FC236}">
              <a16:creationId xmlns:a16="http://schemas.microsoft.com/office/drawing/2014/main" id="{3ADC8604-BD9D-977C-FFC5-60085A68CF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8" name="연결선: 꺾임 18147">
          <a:extLst>
            <a:ext uri="{FF2B5EF4-FFF2-40B4-BE49-F238E27FC236}">
              <a16:creationId xmlns:a16="http://schemas.microsoft.com/office/drawing/2014/main" id="{05A86C2D-0FF5-2972-83C8-BBE28D730C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49" name="연결선: 꺾임 18148">
          <a:extLst>
            <a:ext uri="{FF2B5EF4-FFF2-40B4-BE49-F238E27FC236}">
              <a16:creationId xmlns:a16="http://schemas.microsoft.com/office/drawing/2014/main" id="{8ACCF645-14BB-D4CE-A811-96377AF175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0" name="연결선: 꺾임 18149">
          <a:extLst>
            <a:ext uri="{FF2B5EF4-FFF2-40B4-BE49-F238E27FC236}">
              <a16:creationId xmlns:a16="http://schemas.microsoft.com/office/drawing/2014/main" id="{E9BAF211-BA77-F541-E4BD-4F56AA7656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1" name="연결선: 꺾임 18150">
          <a:extLst>
            <a:ext uri="{FF2B5EF4-FFF2-40B4-BE49-F238E27FC236}">
              <a16:creationId xmlns:a16="http://schemas.microsoft.com/office/drawing/2014/main" id="{476AD06C-8E95-64C1-BECE-B83FF1D5BE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2" name="연결선: 꺾임 18151">
          <a:extLst>
            <a:ext uri="{FF2B5EF4-FFF2-40B4-BE49-F238E27FC236}">
              <a16:creationId xmlns:a16="http://schemas.microsoft.com/office/drawing/2014/main" id="{C0E4A23F-167B-C64B-F514-1FBE16A071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3" name="연결선: 꺾임 18152">
          <a:extLst>
            <a:ext uri="{FF2B5EF4-FFF2-40B4-BE49-F238E27FC236}">
              <a16:creationId xmlns:a16="http://schemas.microsoft.com/office/drawing/2014/main" id="{260C630D-ED62-966D-568A-E127625B27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4" name="연결선: 꺾임 18153">
          <a:extLst>
            <a:ext uri="{FF2B5EF4-FFF2-40B4-BE49-F238E27FC236}">
              <a16:creationId xmlns:a16="http://schemas.microsoft.com/office/drawing/2014/main" id="{990BC646-1711-F105-B3DB-363A3E7A5B8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55" name="연결선: 꺾임 18154">
          <a:extLst>
            <a:ext uri="{FF2B5EF4-FFF2-40B4-BE49-F238E27FC236}">
              <a16:creationId xmlns:a16="http://schemas.microsoft.com/office/drawing/2014/main" id="{3053994D-93CF-BD8D-3EBB-BC2F7CC673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2" name="연결선: 꺾임 18181">
          <a:extLst>
            <a:ext uri="{FF2B5EF4-FFF2-40B4-BE49-F238E27FC236}">
              <a16:creationId xmlns:a16="http://schemas.microsoft.com/office/drawing/2014/main" id="{AC60E0EF-0C1F-6385-3122-AC1E6F71CC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83" name="연결선: 꺾임 18182">
          <a:extLst>
            <a:ext uri="{FF2B5EF4-FFF2-40B4-BE49-F238E27FC236}">
              <a16:creationId xmlns:a16="http://schemas.microsoft.com/office/drawing/2014/main" id="{D6430F87-D92A-731C-202F-F7876BFBC0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13" name="연결선: 꺾임 18212">
          <a:extLst>
            <a:ext uri="{FF2B5EF4-FFF2-40B4-BE49-F238E27FC236}">
              <a16:creationId xmlns:a16="http://schemas.microsoft.com/office/drawing/2014/main" id="{B304A8EC-8971-8AB5-4A2C-AA7794225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3" name="연결선: 꺾임 18242">
          <a:extLst>
            <a:ext uri="{FF2B5EF4-FFF2-40B4-BE49-F238E27FC236}">
              <a16:creationId xmlns:a16="http://schemas.microsoft.com/office/drawing/2014/main" id="{A3F5CC9D-6DD9-5707-8AEB-AD591C57A6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3" name="연결선: 꺾임 18272">
          <a:extLst>
            <a:ext uri="{FF2B5EF4-FFF2-40B4-BE49-F238E27FC236}">
              <a16:creationId xmlns:a16="http://schemas.microsoft.com/office/drawing/2014/main" id="{A0D76910-A6FB-EFF2-203A-063AF3261AB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3" name="연결선: 꺾임 18302">
          <a:extLst>
            <a:ext uri="{FF2B5EF4-FFF2-40B4-BE49-F238E27FC236}">
              <a16:creationId xmlns:a16="http://schemas.microsoft.com/office/drawing/2014/main" id="{0DF90503-28AB-D2CC-78F8-226AC54870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0" name="연결선: 꺾임 18329">
          <a:extLst>
            <a:ext uri="{FF2B5EF4-FFF2-40B4-BE49-F238E27FC236}">
              <a16:creationId xmlns:a16="http://schemas.microsoft.com/office/drawing/2014/main" id="{6920E573-06B1-3E74-E6C9-7536E9D8A7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31" name="연결선: 꺾임 18330">
          <a:extLst>
            <a:ext uri="{FF2B5EF4-FFF2-40B4-BE49-F238E27FC236}">
              <a16:creationId xmlns:a16="http://schemas.microsoft.com/office/drawing/2014/main" id="{C07BE3A2-81CA-4792-2218-196268D43F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8" name="연결선: 꺾임 18357">
          <a:extLst>
            <a:ext uri="{FF2B5EF4-FFF2-40B4-BE49-F238E27FC236}">
              <a16:creationId xmlns:a16="http://schemas.microsoft.com/office/drawing/2014/main" id="{15474E55-A120-E6C0-0573-4BA57FDCE6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59" name="연결선: 꺾임 18358">
          <a:extLst>
            <a:ext uri="{FF2B5EF4-FFF2-40B4-BE49-F238E27FC236}">
              <a16:creationId xmlns:a16="http://schemas.microsoft.com/office/drawing/2014/main" id="{53AF3747-56CD-6FFA-4001-D79C4E7CB2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6" name="연결선: 꺾임 18385">
          <a:extLst>
            <a:ext uri="{FF2B5EF4-FFF2-40B4-BE49-F238E27FC236}">
              <a16:creationId xmlns:a16="http://schemas.microsoft.com/office/drawing/2014/main" id="{2738F28F-7CFE-C7E8-1AA7-80CC6ADFC5B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7" name="연결선: 꺾임 18386">
          <a:extLst>
            <a:ext uri="{FF2B5EF4-FFF2-40B4-BE49-F238E27FC236}">
              <a16:creationId xmlns:a16="http://schemas.microsoft.com/office/drawing/2014/main" id="{B15ACD35-DF49-A97E-7D59-EA421F25A5B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4" name="연결선: 꺾임 18413">
          <a:extLst>
            <a:ext uri="{FF2B5EF4-FFF2-40B4-BE49-F238E27FC236}">
              <a16:creationId xmlns:a16="http://schemas.microsoft.com/office/drawing/2014/main" id="{C3FCBB78-8269-322E-2C5F-F1526F85B2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15" name="연결선: 꺾임 18414">
          <a:extLst>
            <a:ext uri="{FF2B5EF4-FFF2-40B4-BE49-F238E27FC236}">
              <a16:creationId xmlns:a16="http://schemas.microsoft.com/office/drawing/2014/main" id="{DCFDCFCC-71F4-4EF7-5850-DE5A9772BA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42" name="연결선: 꺾임 18441">
          <a:extLst>
            <a:ext uri="{FF2B5EF4-FFF2-40B4-BE49-F238E27FC236}">
              <a16:creationId xmlns:a16="http://schemas.microsoft.com/office/drawing/2014/main" id="{AC390088-AAD4-B881-0651-06D138BC2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9" name="연결선: 꺾임 18468">
          <a:extLst>
            <a:ext uri="{FF2B5EF4-FFF2-40B4-BE49-F238E27FC236}">
              <a16:creationId xmlns:a16="http://schemas.microsoft.com/office/drawing/2014/main" id="{AD1002E5-245F-48CD-7287-39191D2F49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96" name="연결선: 꺾임 18495">
          <a:extLst>
            <a:ext uri="{FF2B5EF4-FFF2-40B4-BE49-F238E27FC236}">
              <a16:creationId xmlns:a16="http://schemas.microsoft.com/office/drawing/2014/main" id="{542F410C-7F1E-0B9A-7750-FB0EE7FE356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23" name="연결선: 꺾임 18522">
          <a:extLst>
            <a:ext uri="{FF2B5EF4-FFF2-40B4-BE49-F238E27FC236}">
              <a16:creationId xmlns:a16="http://schemas.microsoft.com/office/drawing/2014/main" id="{244012FD-F8B9-111A-C7A5-77C0243E7F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4" name="연결선: 꺾임 53">
          <a:extLst>
            <a:ext uri="{FF2B5EF4-FFF2-40B4-BE49-F238E27FC236}">
              <a16:creationId xmlns:a16="http://schemas.microsoft.com/office/drawing/2014/main" id="{7A8E0453-CC93-E0E3-F3C0-8BCC754D8D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9" name="연결선: 꺾임 428">
          <a:extLst>
            <a:ext uri="{FF2B5EF4-FFF2-40B4-BE49-F238E27FC236}">
              <a16:creationId xmlns:a16="http://schemas.microsoft.com/office/drawing/2014/main" id="{531DAC5B-4BB0-1577-C60E-D37429F5CC1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5" name="연결선: 꺾임 2464">
          <a:extLst>
            <a:ext uri="{FF2B5EF4-FFF2-40B4-BE49-F238E27FC236}">
              <a16:creationId xmlns:a16="http://schemas.microsoft.com/office/drawing/2014/main" id="{D912BBB7-1A5D-0ADF-04FB-E6C8F345471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6" name="연결선: 꺾임 2465">
          <a:extLst>
            <a:ext uri="{FF2B5EF4-FFF2-40B4-BE49-F238E27FC236}">
              <a16:creationId xmlns:a16="http://schemas.microsoft.com/office/drawing/2014/main" id="{3004C9A1-3ED2-4837-055F-187D9DB853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8" name="연결선: 꺾임 17997">
          <a:extLst>
            <a:ext uri="{FF2B5EF4-FFF2-40B4-BE49-F238E27FC236}">
              <a16:creationId xmlns:a16="http://schemas.microsoft.com/office/drawing/2014/main" id="{4C2B81AF-944F-651F-6BB9-936D4BBDFC5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9" name="연결선: 꺾임 17998">
          <a:extLst>
            <a:ext uri="{FF2B5EF4-FFF2-40B4-BE49-F238E27FC236}">
              <a16:creationId xmlns:a16="http://schemas.microsoft.com/office/drawing/2014/main" id="{C1C2C75F-1174-BFC8-989D-327BF81CA55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5" name="연결선: 꺾임 18044">
          <a:extLst>
            <a:ext uri="{FF2B5EF4-FFF2-40B4-BE49-F238E27FC236}">
              <a16:creationId xmlns:a16="http://schemas.microsoft.com/office/drawing/2014/main" id="{914F4671-A275-08D8-A1F5-A96D9BDB2D5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6" name="연결선: 꺾임 18045">
          <a:extLst>
            <a:ext uri="{FF2B5EF4-FFF2-40B4-BE49-F238E27FC236}">
              <a16:creationId xmlns:a16="http://schemas.microsoft.com/office/drawing/2014/main" id="{B61791B6-28C5-F361-22DA-B223B962A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4" name="연결선: 꺾임 18073">
          <a:extLst>
            <a:ext uri="{FF2B5EF4-FFF2-40B4-BE49-F238E27FC236}">
              <a16:creationId xmlns:a16="http://schemas.microsoft.com/office/drawing/2014/main" id="{7F1550C1-CA5A-EE03-27A4-C9CB8AF3B94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5" name="연결선: 꺾임 18074">
          <a:extLst>
            <a:ext uri="{FF2B5EF4-FFF2-40B4-BE49-F238E27FC236}">
              <a16:creationId xmlns:a16="http://schemas.microsoft.com/office/drawing/2014/main" id="{A99FDF81-E5EB-82C4-D481-0D15D961989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3" name="연결선: 꺾임 18102">
          <a:extLst>
            <a:ext uri="{FF2B5EF4-FFF2-40B4-BE49-F238E27FC236}">
              <a16:creationId xmlns:a16="http://schemas.microsoft.com/office/drawing/2014/main" id="{58153D89-4DCC-BBBE-9E4D-B7421050C0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4" name="연결선: 꺾임 18103">
          <a:extLst>
            <a:ext uri="{FF2B5EF4-FFF2-40B4-BE49-F238E27FC236}">
              <a16:creationId xmlns:a16="http://schemas.microsoft.com/office/drawing/2014/main" id="{532CC202-AB8A-3591-81AC-FB5EFE232B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1" name="연결선: 꺾임 18130">
          <a:extLst>
            <a:ext uri="{FF2B5EF4-FFF2-40B4-BE49-F238E27FC236}">
              <a16:creationId xmlns:a16="http://schemas.microsoft.com/office/drawing/2014/main" id="{5CF851D3-05D7-7ED0-B972-193E2DD24B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32" name="연결선: 꺾임 18131">
          <a:extLst>
            <a:ext uri="{FF2B5EF4-FFF2-40B4-BE49-F238E27FC236}">
              <a16:creationId xmlns:a16="http://schemas.microsoft.com/office/drawing/2014/main" id="{C1AFE1FF-BA7A-6553-4969-9236876209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4" name="연결선: 꺾임 18223">
          <a:extLst>
            <a:ext uri="{FF2B5EF4-FFF2-40B4-BE49-F238E27FC236}">
              <a16:creationId xmlns:a16="http://schemas.microsoft.com/office/drawing/2014/main" id="{FDA19854-938D-AB72-1386-E02A8EB01C3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25" name="연결선: 꺾임 18224">
          <a:extLst>
            <a:ext uri="{FF2B5EF4-FFF2-40B4-BE49-F238E27FC236}">
              <a16:creationId xmlns:a16="http://schemas.microsoft.com/office/drawing/2014/main" id="{8DD18785-AFE1-7905-5F93-369844DB31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3" name="연결선: 꺾임 18252">
          <a:extLst>
            <a:ext uri="{FF2B5EF4-FFF2-40B4-BE49-F238E27FC236}">
              <a16:creationId xmlns:a16="http://schemas.microsoft.com/office/drawing/2014/main" id="{56050404-AA4D-8E84-832B-B609BF865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54" name="연결선: 꺾임 18253">
          <a:extLst>
            <a:ext uri="{FF2B5EF4-FFF2-40B4-BE49-F238E27FC236}">
              <a16:creationId xmlns:a16="http://schemas.microsoft.com/office/drawing/2014/main" id="{DFB237BF-2B28-52CA-ECAA-9928CD6FF8B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3" name="연결선: 꺾임 18282">
          <a:extLst>
            <a:ext uri="{FF2B5EF4-FFF2-40B4-BE49-F238E27FC236}">
              <a16:creationId xmlns:a16="http://schemas.microsoft.com/office/drawing/2014/main" id="{12DF2403-C2F8-B2F0-5C4E-C1586A6BA2E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84" name="연결선: 꺾임 18283">
          <a:extLst>
            <a:ext uri="{FF2B5EF4-FFF2-40B4-BE49-F238E27FC236}">
              <a16:creationId xmlns:a16="http://schemas.microsoft.com/office/drawing/2014/main" id="{28F1BEC3-15ED-E6B2-2088-49A39EA07AD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2" name="연결선: 꺾임 18311">
          <a:extLst>
            <a:ext uri="{FF2B5EF4-FFF2-40B4-BE49-F238E27FC236}">
              <a16:creationId xmlns:a16="http://schemas.microsoft.com/office/drawing/2014/main" id="{4538E752-E7C8-EDC4-D134-01141F55635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3" name="연결선: 꺾임 18312">
          <a:extLst>
            <a:ext uri="{FF2B5EF4-FFF2-40B4-BE49-F238E27FC236}">
              <a16:creationId xmlns:a16="http://schemas.microsoft.com/office/drawing/2014/main" id="{652EB1EE-B264-A8BB-B67B-80E927415ED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2" name="연결선: 꺾임 18341">
          <a:extLst>
            <a:ext uri="{FF2B5EF4-FFF2-40B4-BE49-F238E27FC236}">
              <a16:creationId xmlns:a16="http://schemas.microsoft.com/office/drawing/2014/main" id="{176713F0-3E88-019D-553C-EFEA0B8ED38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43" name="연결선: 꺾임 18342">
          <a:extLst>
            <a:ext uri="{FF2B5EF4-FFF2-40B4-BE49-F238E27FC236}">
              <a16:creationId xmlns:a16="http://schemas.microsoft.com/office/drawing/2014/main" id="{576C92DF-97FD-9CEF-D451-0295C03468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2" name="연결선: 꺾임 18371">
          <a:extLst>
            <a:ext uri="{FF2B5EF4-FFF2-40B4-BE49-F238E27FC236}">
              <a16:creationId xmlns:a16="http://schemas.microsoft.com/office/drawing/2014/main" id="{5B1DB3BE-B3A4-8EA6-3163-664E3D79F6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3" name="연결선: 꺾임 18372">
          <a:extLst>
            <a:ext uri="{FF2B5EF4-FFF2-40B4-BE49-F238E27FC236}">
              <a16:creationId xmlns:a16="http://schemas.microsoft.com/office/drawing/2014/main" id="{E56AB0C8-99B9-531D-14CA-57450B115E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2" name="연결선: 꺾임 18401">
          <a:extLst>
            <a:ext uri="{FF2B5EF4-FFF2-40B4-BE49-F238E27FC236}">
              <a16:creationId xmlns:a16="http://schemas.microsoft.com/office/drawing/2014/main" id="{595BDA36-F0EA-73FE-1636-63346435DA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3" name="연결선: 꺾임 18402">
          <a:extLst>
            <a:ext uri="{FF2B5EF4-FFF2-40B4-BE49-F238E27FC236}">
              <a16:creationId xmlns:a16="http://schemas.microsoft.com/office/drawing/2014/main" id="{254A869A-F17F-246A-C55A-6813E661E0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2" name="연결선: 꺾임 18431">
          <a:extLst>
            <a:ext uri="{FF2B5EF4-FFF2-40B4-BE49-F238E27FC236}">
              <a16:creationId xmlns:a16="http://schemas.microsoft.com/office/drawing/2014/main" id="{C5F0E626-E50F-93EC-E1F9-2A1FA79C449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33" name="연결선: 꺾임 18432">
          <a:extLst>
            <a:ext uri="{FF2B5EF4-FFF2-40B4-BE49-F238E27FC236}">
              <a16:creationId xmlns:a16="http://schemas.microsoft.com/office/drawing/2014/main" id="{4ED15EA9-D366-CF4F-7AD6-0AC760B2AB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1" name="연결선: 꺾임 18460">
          <a:extLst>
            <a:ext uri="{FF2B5EF4-FFF2-40B4-BE49-F238E27FC236}">
              <a16:creationId xmlns:a16="http://schemas.microsoft.com/office/drawing/2014/main" id="{CF4D99B7-5C64-38AD-6779-9CB76251A7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62" name="연결선: 꺾임 18461">
          <a:extLst>
            <a:ext uri="{FF2B5EF4-FFF2-40B4-BE49-F238E27FC236}">
              <a16:creationId xmlns:a16="http://schemas.microsoft.com/office/drawing/2014/main" id="{F1F3B69A-B018-580A-ED36-972F5DB04A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78" name="연결선: 꺾임 18077">
          <a:extLst>
            <a:ext uri="{FF2B5EF4-FFF2-40B4-BE49-F238E27FC236}">
              <a16:creationId xmlns:a16="http://schemas.microsoft.com/office/drawing/2014/main" id="{FB44BF99-CC12-5AF9-931E-1387A6AAC4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89" name="연결선: 꺾임 18088">
          <a:extLst>
            <a:ext uri="{FF2B5EF4-FFF2-40B4-BE49-F238E27FC236}">
              <a16:creationId xmlns:a16="http://schemas.microsoft.com/office/drawing/2014/main" id="{DB16C7B8-641F-6857-3D70-D2EEF0B44D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0" name="연결선: 꺾임 18099">
          <a:extLst>
            <a:ext uri="{FF2B5EF4-FFF2-40B4-BE49-F238E27FC236}">
              <a16:creationId xmlns:a16="http://schemas.microsoft.com/office/drawing/2014/main" id="{64A8C53F-8EE3-43F3-1921-E769B7B5CF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41" name="연결선: 꺾임 18040">
          <a:extLst>
            <a:ext uri="{FF2B5EF4-FFF2-40B4-BE49-F238E27FC236}">
              <a16:creationId xmlns:a16="http://schemas.microsoft.com/office/drawing/2014/main" id="{7D4567B2-6F80-0EB4-3296-0CDB860ABD6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7" name="연결선: 꺾임 18246">
          <a:extLst>
            <a:ext uri="{FF2B5EF4-FFF2-40B4-BE49-F238E27FC236}">
              <a16:creationId xmlns:a16="http://schemas.microsoft.com/office/drawing/2014/main" id="{94E7DDF5-EEEF-C5F6-B72A-4A69A568F6F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48" name="연결선: 꺾임 18247">
          <a:extLst>
            <a:ext uri="{FF2B5EF4-FFF2-40B4-BE49-F238E27FC236}">
              <a16:creationId xmlns:a16="http://schemas.microsoft.com/office/drawing/2014/main" id="{ACAC4E0C-34A1-9A15-1DB9-C09700F9FE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7" name="연결선: 꺾임 426">
          <a:extLst>
            <a:ext uri="{FF2B5EF4-FFF2-40B4-BE49-F238E27FC236}">
              <a16:creationId xmlns:a16="http://schemas.microsoft.com/office/drawing/2014/main" id="{5C14CF53-362F-1D8A-22F9-D5C1B2C6C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28" name="연결선: 꺾임 427">
          <a:extLst>
            <a:ext uri="{FF2B5EF4-FFF2-40B4-BE49-F238E27FC236}">
              <a16:creationId xmlns:a16="http://schemas.microsoft.com/office/drawing/2014/main" id="{ED72CDFF-5EC6-7EBD-B3A7-E8A9D131F2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0" name="연결선: 꺾임 429">
          <a:extLst>
            <a:ext uri="{FF2B5EF4-FFF2-40B4-BE49-F238E27FC236}">
              <a16:creationId xmlns:a16="http://schemas.microsoft.com/office/drawing/2014/main" id="{9071E895-CD40-3381-2A4E-80C53092C60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1" name="연결선: 꺾임 430">
          <a:extLst>
            <a:ext uri="{FF2B5EF4-FFF2-40B4-BE49-F238E27FC236}">
              <a16:creationId xmlns:a16="http://schemas.microsoft.com/office/drawing/2014/main" id="{19673E6A-3529-882F-8BAC-15FC764B5B2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2" name="연결선: 꺾임 431">
          <a:extLst>
            <a:ext uri="{FF2B5EF4-FFF2-40B4-BE49-F238E27FC236}">
              <a16:creationId xmlns:a16="http://schemas.microsoft.com/office/drawing/2014/main" id="{62342E7D-4B01-838F-04FA-3EDF0AF4150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3" name="연결선: 꺾임 432">
          <a:extLst>
            <a:ext uri="{FF2B5EF4-FFF2-40B4-BE49-F238E27FC236}">
              <a16:creationId xmlns:a16="http://schemas.microsoft.com/office/drawing/2014/main" id="{B1E046C4-29C4-05ED-7D3C-E9F1FE782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4" name="연결선: 꺾임 433">
          <a:extLst>
            <a:ext uri="{FF2B5EF4-FFF2-40B4-BE49-F238E27FC236}">
              <a16:creationId xmlns:a16="http://schemas.microsoft.com/office/drawing/2014/main" id="{BE972582-BAD5-0497-6D54-359976D6C4E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5" name="연결선: 꺾임 434">
          <a:extLst>
            <a:ext uri="{FF2B5EF4-FFF2-40B4-BE49-F238E27FC236}">
              <a16:creationId xmlns:a16="http://schemas.microsoft.com/office/drawing/2014/main" id="{925E71EB-DC93-7897-67C4-70F12A69F4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6" name="연결선: 꺾임 435">
          <a:extLst>
            <a:ext uri="{FF2B5EF4-FFF2-40B4-BE49-F238E27FC236}">
              <a16:creationId xmlns:a16="http://schemas.microsoft.com/office/drawing/2014/main" id="{D8B57ED5-25EE-999B-4516-33F84FC7451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37" name="연결선: 꺾임 436">
          <a:extLst>
            <a:ext uri="{FF2B5EF4-FFF2-40B4-BE49-F238E27FC236}">
              <a16:creationId xmlns:a16="http://schemas.microsoft.com/office/drawing/2014/main" id="{C7F7A56C-24F2-6C40-6AD6-57A96AC22D6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4" name="연결선: 꺾임 443">
          <a:extLst>
            <a:ext uri="{FF2B5EF4-FFF2-40B4-BE49-F238E27FC236}">
              <a16:creationId xmlns:a16="http://schemas.microsoft.com/office/drawing/2014/main" id="{A9809C8B-7789-036E-6758-C83E4D9E98D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8" name="연결선: 꺾임 18367">
          <a:extLst>
            <a:ext uri="{FF2B5EF4-FFF2-40B4-BE49-F238E27FC236}">
              <a16:creationId xmlns:a16="http://schemas.microsoft.com/office/drawing/2014/main" id="{D56B832E-BA98-8C85-D4B6-1932E66BA88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69" name="연결선: 꺾임 18368">
          <a:extLst>
            <a:ext uri="{FF2B5EF4-FFF2-40B4-BE49-F238E27FC236}">
              <a16:creationId xmlns:a16="http://schemas.microsoft.com/office/drawing/2014/main" id="{566C1D45-4013-1AD1-4993-3CCA415BC5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0" name="연결선: 꺾임 18369">
          <a:extLst>
            <a:ext uri="{FF2B5EF4-FFF2-40B4-BE49-F238E27FC236}">
              <a16:creationId xmlns:a16="http://schemas.microsoft.com/office/drawing/2014/main" id="{0B42031A-EEC0-945E-DB97-0B2E2A60A3F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1" name="연결선: 꺾임 18370">
          <a:extLst>
            <a:ext uri="{FF2B5EF4-FFF2-40B4-BE49-F238E27FC236}">
              <a16:creationId xmlns:a16="http://schemas.microsoft.com/office/drawing/2014/main" id="{9EF55BF5-C628-4907-F6A7-509926991D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4" name="연결선: 꺾임 18373">
          <a:extLst>
            <a:ext uri="{FF2B5EF4-FFF2-40B4-BE49-F238E27FC236}">
              <a16:creationId xmlns:a16="http://schemas.microsoft.com/office/drawing/2014/main" id="{29491E99-BBBD-66B8-9591-79D39ED3B6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5" name="연결선: 꺾임 18374">
          <a:extLst>
            <a:ext uri="{FF2B5EF4-FFF2-40B4-BE49-F238E27FC236}">
              <a16:creationId xmlns:a16="http://schemas.microsoft.com/office/drawing/2014/main" id="{3404F578-97FD-58C0-7D22-EEF15CC9E61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6" name="연결선: 꺾임 18375">
          <a:extLst>
            <a:ext uri="{FF2B5EF4-FFF2-40B4-BE49-F238E27FC236}">
              <a16:creationId xmlns:a16="http://schemas.microsoft.com/office/drawing/2014/main" id="{6DCF8F81-C805-F5C6-F08A-F8F0B16720B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7" name="연결선: 꺾임 18376">
          <a:extLst>
            <a:ext uri="{FF2B5EF4-FFF2-40B4-BE49-F238E27FC236}">
              <a16:creationId xmlns:a16="http://schemas.microsoft.com/office/drawing/2014/main" id="{D641EEBC-206C-43CC-2722-EBE19ECAC58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8" name="연결선: 꺾임 18377">
          <a:extLst>
            <a:ext uri="{FF2B5EF4-FFF2-40B4-BE49-F238E27FC236}">
              <a16:creationId xmlns:a16="http://schemas.microsoft.com/office/drawing/2014/main" id="{38F2D30B-E9F5-31F9-6F5F-AB4C2C818CF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79" name="연결선: 꺾임 18378">
          <a:extLst>
            <a:ext uri="{FF2B5EF4-FFF2-40B4-BE49-F238E27FC236}">
              <a16:creationId xmlns:a16="http://schemas.microsoft.com/office/drawing/2014/main" id="{D0765E54-4E55-05BA-F507-0DD6BF0DE11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88" name="연결선: 꺾임 18387">
          <a:extLst>
            <a:ext uri="{FF2B5EF4-FFF2-40B4-BE49-F238E27FC236}">
              <a16:creationId xmlns:a16="http://schemas.microsoft.com/office/drawing/2014/main" id="{8948D063-989B-BC85-1B22-978AB4C89F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7" name="연결선: 꺾임 62116">
          <a:extLst>
            <a:ext uri="{FF2B5EF4-FFF2-40B4-BE49-F238E27FC236}">
              <a16:creationId xmlns:a16="http://schemas.microsoft.com/office/drawing/2014/main" id="{4FEEF578-733D-A2A6-F456-969D14B98EC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8" name="연결선: 꺾임 62117">
          <a:extLst>
            <a:ext uri="{FF2B5EF4-FFF2-40B4-BE49-F238E27FC236}">
              <a16:creationId xmlns:a16="http://schemas.microsoft.com/office/drawing/2014/main" id="{73C0560A-6154-4E3E-FB50-D4DE96354FE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19" name="연결선: 꺾임 62118">
          <a:extLst>
            <a:ext uri="{FF2B5EF4-FFF2-40B4-BE49-F238E27FC236}">
              <a16:creationId xmlns:a16="http://schemas.microsoft.com/office/drawing/2014/main" id="{F8F9F1CE-287B-3268-1B26-F8133A1474E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0" name="연결선: 꺾임 62119">
          <a:extLst>
            <a:ext uri="{FF2B5EF4-FFF2-40B4-BE49-F238E27FC236}">
              <a16:creationId xmlns:a16="http://schemas.microsoft.com/office/drawing/2014/main" id="{C2AE30CE-3CBE-A724-5BF2-3971988F759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1" name="연결선: 꺾임 62120">
          <a:extLst>
            <a:ext uri="{FF2B5EF4-FFF2-40B4-BE49-F238E27FC236}">
              <a16:creationId xmlns:a16="http://schemas.microsoft.com/office/drawing/2014/main" id="{CDAADF45-90E7-A4A2-829F-058FB0C591B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2" name="연결선: 꺾임 62121">
          <a:extLst>
            <a:ext uri="{FF2B5EF4-FFF2-40B4-BE49-F238E27FC236}">
              <a16:creationId xmlns:a16="http://schemas.microsoft.com/office/drawing/2014/main" id="{1BC1095B-4C7D-3D70-CC7A-E5D28EAC4EF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3" name="연결선: 꺾임 62122">
          <a:extLst>
            <a:ext uri="{FF2B5EF4-FFF2-40B4-BE49-F238E27FC236}">
              <a16:creationId xmlns:a16="http://schemas.microsoft.com/office/drawing/2014/main" id="{362E6842-026B-75CA-1BD3-8DE42DD719D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4" name="연결선: 꺾임 62123">
          <a:extLst>
            <a:ext uri="{FF2B5EF4-FFF2-40B4-BE49-F238E27FC236}">
              <a16:creationId xmlns:a16="http://schemas.microsoft.com/office/drawing/2014/main" id="{F71B0B5B-AD55-1C20-39EA-F9048A05C1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5" name="연결선: 꺾임 62124">
          <a:extLst>
            <a:ext uri="{FF2B5EF4-FFF2-40B4-BE49-F238E27FC236}">
              <a16:creationId xmlns:a16="http://schemas.microsoft.com/office/drawing/2014/main" id="{CA28ECB2-44AD-FAE9-4DE2-DCE7275EB0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26" name="연결선: 꺾임 62125">
          <a:extLst>
            <a:ext uri="{FF2B5EF4-FFF2-40B4-BE49-F238E27FC236}">
              <a16:creationId xmlns:a16="http://schemas.microsoft.com/office/drawing/2014/main" id="{D41893A4-30FD-F91E-566B-34B680DA9BD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33" name="연결선: 꺾임 62132">
          <a:extLst>
            <a:ext uri="{FF2B5EF4-FFF2-40B4-BE49-F238E27FC236}">
              <a16:creationId xmlns:a16="http://schemas.microsoft.com/office/drawing/2014/main" id="{17AC0FBB-78A8-712F-D891-D2E662FFFB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1" name="연결선: 꺾임 440">
          <a:extLst>
            <a:ext uri="{FF2B5EF4-FFF2-40B4-BE49-F238E27FC236}">
              <a16:creationId xmlns:a16="http://schemas.microsoft.com/office/drawing/2014/main" id="{5224A423-8A9D-66BF-F004-28E102C6BE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2" name="연결선: 꺾임 441">
          <a:extLst>
            <a:ext uri="{FF2B5EF4-FFF2-40B4-BE49-F238E27FC236}">
              <a16:creationId xmlns:a16="http://schemas.microsoft.com/office/drawing/2014/main" id="{2104BB4C-B369-B756-B27F-16C215015F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3" name="연결선: 꺾임 442">
          <a:extLst>
            <a:ext uri="{FF2B5EF4-FFF2-40B4-BE49-F238E27FC236}">
              <a16:creationId xmlns:a16="http://schemas.microsoft.com/office/drawing/2014/main" id="{7D68910D-1456-1D22-C8BE-C328D9FE24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5" name="연결선: 꺾임 444">
          <a:extLst>
            <a:ext uri="{FF2B5EF4-FFF2-40B4-BE49-F238E27FC236}">
              <a16:creationId xmlns:a16="http://schemas.microsoft.com/office/drawing/2014/main" id="{5BB96183-2CC4-CCBD-1EAC-BDDD41F86BA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6" name="연결선: 꺾임 445">
          <a:extLst>
            <a:ext uri="{FF2B5EF4-FFF2-40B4-BE49-F238E27FC236}">
              <a16:creationId xmlns:a16="http://schemas.microsoft.com/office/drawing/2014/main" id="{4C8E2ADA-3E41-B169-1B29-1D699351852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47" name="연결선: 꺾임 446">
          <a:extLst>
            <a:ext uri="{FF2B5EF4-FFF2-40B4-BE49-F238E27FC236}">
              <a16:creationId xmlns:a16="http://schemas.microsoft.com/office/drawing/2014/main" id="{0D45CD94-FE22-2022-7906-CD3E04AF663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87" name="연결선: 꺾임 17986">
          <a:extLst>
            <a:ext uri="{FF2B5EF4-FFF2-40B4-BE49-F238E27FC236}">
              <a16:creationId xmlns:a16="http://schemas.microsoft.com/office/drawing/2014/main" id="{DB5DDE53-6158-4111-8D8C-9A71058F3C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7992" name="연결선: 꺾임 17991">
          <a:extLst>
            <a:ext uri="{FF2B5EF4-FFF2-40B4-BE49-F238E27FC236}">
              <a16:creationId xmlns:a16="http://schemas.microsoft.com/office/drawing/2014/main" id="{368213BE-49D9-944B-0015-878EF90C1BB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4" name="연결선: 꺾임 18003">
          <a:extLst>
            <a:ext uri="{FF2B5EF4-FFF2-40B4-BE49-F238E27FC236}">
              <a16:creationId xmlns:a16="http://schemas.microsoft.com/office/drawing/2014/main" id="{15C1D3CB-CFEA-BCEF-46F6-EF2C07EFB32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5" name="연결선: 꺾임 18004">
          <a:extLst>
            <a:ext uri="{FF2B5EF4-FFF2-40B4-BE49-F238E27FC236}">
              <a16:creationId xmlns:a16="http://schemas.microsoft.com/office/drawing/2014/main" id="{1A0012ED-6CC1-6AA8-708E-489F84E30D6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8" name="연결선: 꺾임 2477">
          <a:extLst>
            <a:ext uri="{FF2B5EF4-FFF2-40B4-BE49-F238E27FC236}">
              <a16:creationId xmlns:a16="http://schemas.microsoft.com/office/drawing/2014/main" id="{091B2847-4F2D-D438-CC14-E3D9183B9CD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9" name="연결선: 꺾임 2478">
          <a:extLst>
            <a:ext uri="{FF2B5EF4-FFF2-40B4-BE49-F238E27FC236}">
              <a16:creationId xmlns:a16="http://schemas.microsoft.com/office/drawing/2014/main" id="{9345A063-F1F6-7EB9-280B-6716CEB0380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0" name="연결선: 꺾임 2479">
          <a:extLst>
            <a:ext uri="{FF2B5EF4-FFF2-40B4-BE49-F238E27FC236}">
              <a16:creationId xmlns:a16="http://schemas.microsoft.com/office/drawing/2014/main" id="{43607C7D-8A7E-53A3-7F95-E10481A3ECB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1" name="연결선: 꺾임 2480">
          <a:extLst>
            <a:ext uri="{FF2B5EF4-FFF2-40B4-BE49-F238E27FC236}">
              <a16:creationId xmlns:a16="http://schemas.microsoft.com/office/drawing/2014/main" id="{D6033A7A-5A61-BD29-89D9-5A98A934E8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2" name="연결선: 꺾임 2481">
          <a:extLst>
            <a:ext uri="{FF2B5EF4-FFF2-40B4-BE49-F238E27FC236}">
              <a16:creationId xmlns:a16="http://schemas.microsoft.com/office/drawing/2014/main" id="{81CD929A-31F4-29A6-26AE-36157D66C36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3" name="연결선: 꺾임 2482">
          <a:extLst>
            <a:ext uri="{FF2B5EF4-FFF2-40B4-BE49-F238E27FC236}">
              <a16:creationId xmlns:a16="http://schemas.microsoft.com/office/drawing/2014/main" id="{AF23E42B-D3C0-ACD1-034C-8CF0425557F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4" name="연결선: 꺾임 2483">
          <a:extLst>
            <a:ext uri="{FF2B5EF4-FFF2-40B4-BE49-F238E27FC236}">
              <a16:creationId xmlns:a16="http://schemas.microsoft.com/office/drawing/2014/main" id="{903ECEB2-72B8-FAB9-F223-BF7C4E316C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5" name="연결선: 꺾임 2484">
          <a:extLst>
            <a:ext uri="{FF2B5EF4-FFF2-40B4-BE49-F238E27FC236}">
              <a16:creationId xmlns:a16="http://schemas.microsoft.com/office/drawing/2014/main" id="{5C26AACC-19EC-6B53-B586-17547915C0E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6" name="연결선: 꺾임 2485">
          <a:extLst>
            <a:ext uri="{FF2B5EF4-FFF2-40B4-BE49-F238E27FC236}">
              <a16:creationId xmlns:a16="http://schemas.microsoft.com/office/drawing/2014/main" id="{52328498-A7BA-8938-8E23-FCB74F6F25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7" name="연결선: 꺾임 2486">
          <a:extLst>
            <a:ext uri="{FF2B5EF4-FFF2-40B4-BE49-F238E27FC236}">
              <a16:creationId xmlns:a16="http://schemas.microsoft.com/office/drawing/2014/main" id="{355623AA-9992-7101-99BF-9809A4D4C5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8" name="연결선: 꺾임 2487">
          <a:extLst>
            <a:ext uri="{FF2B5EF4-FFF2-40B4-BE49-F238E27FC236}">
              <a16:creationId xmlns:a16="http://schemas.microsoft.com/office/drawing/2014/main" id="{B25D5133-FF2F-7256-5C4D-727F8C1E4E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4" name="연결선: 꺾임 2433">
          <a:extLst>
            <a:ext uri="{FF2B5EF4-FFF2-40B4-BE49-F238E27FC236}">
              <a16:creationId xmlns:a16="http://schemas.microsoft.com/office/drawing/2014/main" id="{30792351-8D81-E52C-EA58-E74C9AD455F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5" name="연결선: 꺾임 2434">
          <a:extLst>
            <a:ext uri="{FF2B5EF4-FFF2-40B4-BE49-F238E27FC236}">
              <a16:creationId xmlns:a16="http://schemas.microsoft.com/office/drawing/2014/main" id="{8FF19DFA-C053-00D8-8B94-A4AE50847C5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6" name="연결선: 꺾임 2435">
          <a:extLst>
            <a:ext uri="{FF2B5EF4-FFF2-40B4-BE49-F238E27FC236}">
              <a16:creationId xmlns:a16="http://schemas.microsoft.com/office/drawing/2014/main" id="{5F06A930-32DD-B67B-F559-9E7D7D535F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7" name="연결선: 꺾임 2436">
          <a:extLst>
            <a:ext uri="{FF2B5EF4-FFF2-40B4-BE49-F238E27FC236}">
              <a16:creationId xmlns:a16="http://schemas.microsoft.com/office/drawing/2014/main" id="{AE82803C-E802-52E0-405D-3802B96C85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38" name="연결선: 꺾임 2437">
          <a:extLst>
            <a:ext uri="{FF2B5EF4-FFF2-40B4-BE49-F238E27FC236}">
              <a16:creationId xmlns:a16="http://schemas.microsoft.com/office/drawing/2014/main" id="{977E78C2-10C8-F9DA-1422-6674C7332DC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8" name="연결선: 꺾임 2457">
          <a:extLst>
            <a:ext uri="{FF2B5EF4-FFF2-40B4-BE49-F238E27FC236}">
              <a16:creationId xmlns:a16="http://schemas.microsoft.com/office/drawing/2014/main" id="{95FAFAC5-D61A-4063-E1CD-390655067E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59" name="연결선: 꺾임 2458">
          <a:extLst>
            <a:ext uri="{FF2B5EF4-FFF2-40B4-BE49-F238E27FC236}">
              <a16:creationId xmlns:a16="http://schemas.microsoft.com/office/drawing/2014/main" id="{4107CA3C-47F1-5CFA-2E2D-EC5975629C6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0" name="연결선: 꺾임 2459">
          <a:extLst>
            <a:ext uri="{FF2B5EF4-FFF2-40B4-BE49-F238E27FC236}">
              <a16:creationId xmlns:a16="http://schemas.microsoft.com/office/drawing/2014/main" id="{C7A000B4-B748-2C34-983D-B1CFA2C8BF9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7" name="연결선: 꺾임 2466">
          <a:extLst>
            <a:ext uri="{FF2B5EF4-FFF2-40B4-BE49-F238E27FC236}">
              <a16:creationId xmlns:a16="http://schemas.microsoft.com/office/drawing/2014/main" id="{D015B141-BBDC-0551-5716-7A995B0A3A8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8" name="연결선: 꺾임 2467">
          <a:extLst>
            <a:ext uri="{FF2B5EF4-FFF2-40B4-BE49-F238E27FC236}">
              <a16:creationId xmlns:a16="http://schemas.microsoft.com/office/drawing/2014/main" id="{9E836831-F0BE-DA38-B39B-708EDAD2A6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4" name="연결선: 꺾임 18263">
          <a:extLst>
            <a:ext uri="{FF2B5EF4-FFF2-40B4-BE49-F238E27FC236}">
              <a16:creationId xmlns:a16="http://schemas.microsoft.com/office/drawing/2014/main" id="{30AA94DB-1360-EB9D-38DE-3C8C7425929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5" name="연결선: 꺾임 18264">
          <a:extLst>
            <a:ext uri="{FF2B5EF4-FFF2-40B4-BE49-F238E27FC236}">
              <a16:creationId xmlns:a16="http://schemas.microsoft.com/office/drawing/2014/main" id="{5F17D7CF-45A5-893C-E91A-255A321BAE3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6" name="연결선: 꺾임 18265">
          <a:extLst>
            <a:ext uri="{FF2B5EF4-FFF2-40B4-BE49-F238E27FC236}">
              <a16:creationId xmlns:a16="http://schemas.microsoft.com/office/drawing/2014/main" id="{D843DA89-673F-0D96-01B8-5F31D7C60B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7" name="연결선: 꺾임 18266">
          <a:extLst>
            <a:ext uri="{FF2B5EF4-FFF2-40B4-BE49-F238E27FC236}">
              <a16:creationId xmlns:a16="http://schemas.microsoft.com/office/drawing/2014/main" id="{9DC17A82-FB6D-DC45-451D-9A62CAA03F1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8" name="연결선: 꺾임 18267">
          <a:extLst>
            <a:ext uri="{FF2B5EF4-FFF2-40B4-BE49-F238E27FC236}">
              <a16:creationId xmlns:a16="http://schemas.microsoft.com/office/drawing/2014/main" id="{56490844-A435-D684-B373-F1D850BCE57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69" name="연결선: 꺾임 18268">
          <a:extLst>
            <a:ext uri="{FF2B5EF4-FFF2-40B4-BE49-F238E27FC236}">
              <a16:creationId xmlns:a16="http://schemas.microsoft.com/office/drawing/2014/main" id="{7209B692-2486-D4D1-06A5-0631476415C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0" name="연결선: 꺾임 18269">
          <a:extLst>
            <a:ext uri="{FF2B5EF4-FFF2-40B4-BE49-F238E27FC236}">
              <a16:creationId xmlns:a16="http://schemas.microsoft.com/office/drawing/2014/main" id="{5DAA7B36-C0E5-2C58-823B-82B2A2DCB72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274" name="연결선: 꺾임 18273">
          <a:extLst>
            <a:ext uri="{FF2B5EF4-FFF2-40B4-BE49-F238E27FC236}">
              <a16:creationId xmlns:a16="http://schemas.microsoft.com/office/drawing/2014/main" id="{A40E5CC3-B93E-AE6F-F86A-F1145D9C7D5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6" name="연결선: 꺾임 18305">
          <a:extLst>
            <a:ext uri="{FF2B5EF4-FFF2-40B4-BE49-F238E27FC236}">
              <a16:creationId xmlns:a16="http://schemas.microsoft.com/office/drawing/2014/main" id="{3B7810BA-FD3C-99E7-AF97-EEF19923208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7" name="연결선: 꺾임 18306">
          <a:extLst>
            <a:ext uri="{FF2B5EF4-FFF2-40B4-BE49-F238E27FC236}">
              <a16:creationId xmlns:a16="http://schemas.microsoft.com/office/drawing/2014/main" id="{B13219BB-F8FE-2553-9209-D1600AC6AD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8" name="연결선: 꺾임 18307">
          <a:extLst>
            <a:ext uri="{FF2B5EF4-FFF2-40B4-BE49-F238E27FC236}">
              <a16:creationId xmlns:a16="http://schemas.microsoft.com/office/drawing/2014/main" id="{B64EA305-6805-4BDE-77B0-C148A6E960C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09" name="연결선: 꺾임 18308">
          <a:extLst>
            <a:ext uri="{FF2B5EF4-FFF2-40B4-BE49-F238E27FC236}">
              <a16:creationId xmlns:a16="http://schemas.microsoft.com/office/drawing/2014/main" id="{A346E55C-6E49-5C1D-3474-821D7349B0A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0" name="연결선: 꺾임 18309">
          <a:extLst>
            <a:ext uri="{FF2B5EF4-FFF2-40B4-BE49-F238E27FC236}">
              <a16:creationId xmlns:a16="http://schemas.microsoft.com/office/drawing/2014/main" id="{D5AABE44-FDA2-80A2-E619-383EA484F3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1" name="연결선: 꺾임 18310">
          <a:extLst>
            <a:ext uri="{FF2B5EF4-FFF2-40B4-BE49-F238E27FC236}">
              <a16:creationId xmlns:a16="http://schemas.microsoft.com/office/drawing/2014/main" id="{C791A174-66C9-DE2B-DB8A-34593C1713F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4" name="연결선: 꺾임 18313">
          <a:extLst>
            <a:ext uri="{FF2B5EF4-FFF2-40B4-BE49-F238E27FC236}">
              <a16:creationId xmlns:a16="http://schemas.microsoft.com/office/drawing/2014/main" id="{911EB91D-D3F5-FEF3-A3B9-5864A0A90CD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5" name="연결선: 꺾임 18314">
          <a:extLst>
            <a:ext uri="{FF2B5EF4-FFF2-40B4-BE49-F238E27FC236}">
              <a16:creationId xmlns:a16="http://schemas.microsoft.com/office/drawing/2014/main" id="{251A2221-8055-7273-B8ED-28A7AB92063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6" name="연결선: 꺾임 18315">
          <a:extLst>
            <a:ext uri="{FF2B5EF4-FFF2-40B4-BE49-F238E27FC236}">
              <a16:creationId xmlns:a16="http://schemas.microsoft.com/office/drawing/2014/main" id="{7FCC945A-90B8-9E17-3A38-3E8A4470283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7" name="연결선: 꺾임 18316">
          <a:extLst>
            <a:ext uri="{FF2B5EF4-FFF2-40B4-BE49-F238E27FC236}">
              <a16:creationId xmlns:a16="http://schemas.microsoft.com/office/drawing/2014/main" id="{91644D22-BE4D-9A5D-133D-72C7B0E5468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18" name="연결선: 꺾임 18317">
          <a:extLst>
            <a:ext uri="{FF2B5EF4-FFF2-40B4-BE49-F238E27FC236}">
              <a16:creationId xmlns:a16="http://schemas.microsoft.com/office/drawing/2014/main" id="{24F1E69C-EF50-617F-964D-1BC212BCA9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7" name="연결선: 꺾임 18396">
          <a:extLst>
            <a:ext uri="{FF2B5EF4-FFF2-40B4-BE49-F238E27FC236}">
              <a16:creationId xmlns:a16="http://schemas.microsoft.com/office/drawing/2014/main" id="{C2E6A109-CEAF-699B-F7AF-D6B3AD479AF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8" name="연결선: 꺾임 18397">
          <a:extLst>
            <a:ext uri="{FF2B5EF4-FFF2-40B4-BE49-F238E27FC236}">
              <a16:creationId xmlns:a16="http://schemas.microsoft.com/office/drawing/2014/main" id="{A6CB8C9D-59A4-5AE9-C34B-EF9D751D987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399" name="연결선: 꺾임 18398">
          <a:extLst>
            <a:ext uri="{FF2B5EF4-FFF2-40B4-BE49-F238E27FC236}">
              <a16:creationId xmlns:a16="http://schemas.microsoft.com/office/drawing/2014/main" id="{8B2BCDB7-DB0E-F649-31ED-EC16F668F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0" name="연결선: 꺾임 18399">
          <a:extLst>
            <a:ext uri="{FF2B5EF4-FFF2-40B4-BE49-F238E27FC236}">
              <a16:creationId xmlns:a16="http://schemas.microsoft.com/office/drawing/2014/main" id="{02DA55F2-FE1C-9517-EADC-4DBDBDC026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1" name="연결선: 꺾임 18400">
          <a:extLst>
            <a:ext uri="{FF2B5EF4-FFF2-40B4-BE49-F238E27FC236}">
              <a16:creationId xmlns:a16="http://schemas.microsoft.com/office/drawing/2014/main" id="{6CB956A2-9D3E-7AEF-E9D2-2C35E981FC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4" name="연결선: 꺾임 18403">
          <a:extLst>
            <a:ext uri="{FF2B5EF4-FFF2-40B4-BE49-F238E27FC236}">
              <a16:creationId xmlns:a16="http://schemas.microsoft.com/office/drawing/2014/main" id="{22331717-7865-60D5-405F-40B14E29C1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5" name="연결선: 꺾임 18404">
          <a:extLst>
            <a:ext uri="{FF2B5EF4-FFF2-40B4-BE49-F238E27FC236}">
              <a16:creationId xmlns:a16="http://schemas.microsoft.com/office/drawing/2014/main" id="{6A5065FC-F64A-D7E6-C6BA-49DC28792D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6" name="연결선: 꺾임 18405">
          <a:extLst>
            <a:ext uri="{FF2B5EF4-FFF2-40B4-BE49-F238E27FC236}">
              <a16:creationId xmlns:a16="http://schemas.microsoft.com/office/drawing/2014/main" id="{C3C5B41E-1B5D-1651-F329-99EF9A8723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7" name="연결선: 꺾임 18406">
          <a:extLst>
            <a:ext uri="{FF2B5EF4-FFF2-40B4-BE49-F238E27FC236}">
              <a16:creationId xmlns:a16="http://schemas.microsoft.com/office/drawing/2014/main" id="{055A9D46-C5CF-862F-56B0-0CE8BA28795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408" name="연결선: 꺾임 18407">
          <a:extLst>
            <a:ext uri="{FF2B5EF4-FFF2-40B4-BE49-F238E27FC236}">
              <a16:creationId xmlns:a16="http://schemas.microsoft.com/office/drawing/2014/main" id="{CF0A0756-29AC-3651-B1C4-DA04138C75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2" name="연결선: 꺾임 64591">
          <a:extLst>
            <a:ext uri="{FF2B5EF4-FFF2-40B4-BE49-F238E27FC236}">
              <a16:creationId xmlns:a16="http://schemas.microsoft.com/office/drawing/2014/main" id="{8015E8C4-F396-80AD-AA42-4759A1C9BB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3" name="연결선: 꺾임 64592">
          <a:extLst>
            <a:ext uri="{FF2B5EF4-FFF2-40B4-BE49-F238E27FC236}">
              <a16:creationId xmlns:a16="http://schemas.microsoft.com/office/drawing/2014/main" id="{1228ADDA-6DC2-8A24-67A4-6C6340840F2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4" name="연결선: 꺾임 64593">
          <a:extLst>
            <a:ext uri="{FF2B5EF4-FFF2-40B4-BE49-F238E27FC236}">
              <a16:creationId xmlns:a16="http://schemas.microsoft.com/office/drawing/2014/main" id="{16E611CA-1EAB-736D-8905-AA47D43B61C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5" name="연결선: 꺾임 64594">
          <a:extLst>
            <a:ext uri="{FF2B5EF4-FFF2-40B4-BE49-F238E27FC236}">
              <a16:creationId xmlns:a16="http://schemas.microsoft.com/office/drawing/2014/main" id="{F566698F-FD89-DB8D-32BC-C8A81F868C4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6" name="연결선: 꺾임 64595">
          <a:extLst>
            <a:ext uri="{FF2B5EF4-FFF2-40B4-BE49-F238E27FC236}">
              <a16:creationId xmlns:a16="http://schemas.microsoft.com/office/drawing/2014/main" id="{6F73A9E4-FCE4-3A3A-CB13-C99A2D3EF72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7" name="연결선: 꺾임 64596">
          <a:extLst>
            <a:ext uri="{FF2B5EF4-FFF2-40B4-BE49-F238E27FC236}">
              <a16:creationId xmlns:a16="http://schemas.microsoft.com/office/drawing/2014/main" id="{B13E5ACB-06E7-A76D-7B48-96EFC83E957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8" name="연결선: 꺾임 64597">
          <a:extLst>
            <a:ext uri="{FF2B5EF4-FFF2-40B4-BE49-F238E27FC236}">
              <a16:creationId xmlns:a16="http://schemas.microsoft.com/office/drawing/2014/main" id="{B9AF528A-0E52-1F0C-8B76-5ECA727DD89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99" name="연결선: 꺾임 64598">
          <a:extLst>
            <a:ext uri="{FF2B5EF4-FFF2-40B4-BE49-F238E27FC236}">
              <a16:creationId xmlns:a16="http://schemas.microsoft.com/office/drawing/2014/main" id="{9D278007-F6BA-1C7E-8EC0-4CDF46CC97A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0" name="연결선: 꺾임 64599">
          <a:extLst>
            <a:ext uri="{FF2B5EF4-FFF2-40B4-BE49-F238E27FC236}">
              <a16:creationId xmlns:a16="http://schemas.microsoft.com/office/drawing/2014/main" id="{55DC73EB-3527-1D10-7D11-1516E20B2D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01" name="연결선: 꺾임 64600">
          <a:extLst>
            <a:ext uri="{FF2B5EF4-FFF2-40B4-BE49-F238E27FC236}">
              <a16:creationId xmlns:a16="http://schemas.microsoft.com/office/drawing/2014/main" id="{EC32FE25-2E5F-5500-EEBD-3FC13A56591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59" name="연결선: 꺾임 64658">
          <a:extLst>
            <a:ext uri="{FF2B5EF4-FFF2-40B4-BE49-F238E27FC236}">
              <a16:creationId xmlns:a16="http://schemas.microsoft.com/office/drawing/2014/main" id="{C8F71CE3-D0DC-9E8D-A0E5-FC851AE3552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0" name="연결선: 꺾임 64659">
          <a:extLst>
            <a:ext uri="{FF2B5EF4-FFF2-40B4-BE49-F238E27FC236}">
              <a16:creationId xmlns:a16="http://schemas.microsoft.com/office/drawing/2014/main" id="{68918ACC-EC34-E764-C212-D50EA4F9BED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1" name="연결선: 꺾임 64660">
          <a:extLst>
            <a:ext uri="{FF2B5EF4-FFF2-40B4-BE49-F238E27FC236}">
              <a16:creationId xmlns:a16="http://schemas.microsoft.com/office/drawing/2014/main" id="{75926721-4588-BC60-44C9-C146B57B1E3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2" name="연결선: 꺾임 64661">
          <a:extLst>
            <a:ext uri="{FF2B5EF4-FFF2-40B4-BE49-F238E27FC236}">
              <a16:creationId xmlns:a16="http://schemas.microsoft.com/office/drawing/2014/main" id="{8816DA43-8919-80DC-31A2-DE94378BF3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3" name="연결선: 꺾임 64662">
          <a:extLst>
            <a:ext uri="{FF2B5EF4-FFF2-40B4-BE49-F238E27FC236}">
              <a16:creationId xmlns:a16="http://schemas.microsoft.com/office/drawing/2014/main" id="{87774F9E-30AA-1E1A-D794-1E298107C1E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4" name="연결선: 꺾임 64663">
          <a:extLst>
            <a:ext uri="{FF2B5EF4-FFF2-40B4-BE49-F238E27FC236}">
              <a16:creationId xmlns:a16="http://schemas.microsoft.com/office/drawing/2014/main" id="{6329C6D5-F619-1F2D-6B09-3213F9F01A4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5" name="연결선: 꺾임 64664">
          <a:extLst>
            <a:ext uri="{FF2B5EF4-FFF2-40B4-BE49-F238E27FC236}">
              <a16:creationId xmlns:a16="http://schemas.microsoft.com/office/drawing/2014/main" id="{659477BA-2EC3-16A6-B272-4E34C9A523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6" name="연결선: 꺾임 64665">
          <a:extLst>
            <a:ext uri="{FF2B5EF4-FFF2-40B4-BE49-F238E27FC236}">
              <a16:creationId xmlns:a16="http://schemas.microsoft.com/office/drawing/2014/main" id="{348CCC7F-B659-BEB3-7670-B98ECEA7A81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7" name="연결선: 꺾임 64666">
          <a:extLst>
            <a:ext uri="{FF2B5EF4-FFF2-40B4-BE49-F238E27FC236}">
              <a16:creationId xmlns:a16="http://schemas.microsoft.com/office/drawing/2014/main" id="{B163337C-95A8-E97B-4DF3-EA4F4DA33C2D}"/>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68" name="연결선: 꺾임 64667">
          <a:extLst>
            <a:ext uri="{FF2B5EF4-FFF2-40B4-BE49-F238E27FC236}">
              <a16:creationId xmlns:a16="http://schemas.microsoft.com/office/drawing/2014/main" id="{C33D440F-D11B-22D4-5A27-D5A11872DA4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0" name="연결선: 꺾임 64579">
          <a:extLst>
            <a:ext uri="{FF2B5EF4-FFF2-40B4-BE49-F238E27FC236}">
              <a16:creationId xmlns:a16="http://schemas.microsoft.com/office/drawing/2014/main" id="{E180AEDE-F913-684F-E14B-0881F6A8545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1" name="연결선: 꺾임 64580">
          <a:extLst>
            <a:ext uri="{FF2B5EF4-FFF2-40B4-BE49-F238E27FC236}">
              <a16:creationId xmlns:a16="http://schemas.microsoft.com/office/drawing/2014/main" id="{851BD537-42E6-9DD9-A94C-81FD6A5A5C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2" name="연결선: 꺾임 64581">
          <a:extLst>
            <a:ext uri="{FF2B5EF4-FFF2-40B4-BE49-F238E27FC236}">
              <a16:creationId xmlns:a16="http://schemas.microsoft.com/office/drawing/2014/main" id="{43E23B32-A2DC-4923-9DCB-9802B18CA83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3" name="연결선: 꺾임 64582">
          <a:extLst>
            <a:ext uri="{FF2B5EF4-FFF2-40B4-BE49-F238E27FC236}">
              <a16:creationId xmlns:a16="http://schemas.microsoft.com/office/drawing/2014/main" id="{A1018D63-9922-4639-A242-6EBA802655E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4" name="연결선: 꺾임 64583">
          <a:extLst>
            <a:ext uri="{FF2B5EF4-FFF2-40B4-BE49-F238E27FC236}">
              <a16:creationId xmlns:a16="http://schemas.microsoft.com/office/drawing/2014/main" id="{8DF48960-EC53-78B7-2494-581C3804E7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5" name="연결선: 꺾임 64584">
          <a:extLst>
            <a:ext uri="{FF2B5EF4-FFF2-40B4-BE49-F238E27FC236}">
              <a16:creationId xmlns:a16="http://schemas.microsoft.com/office/drawing/2014/main" id="{D3B4B3DA-289E-7DDF-19ED-27A42453A8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6" name="연결선: 꺾임 64585">
          <a:extLst>
            <a:ext uri="{FF2B5EF4-FFF2-40B4-BE49-F238E27FC236}">
              <a16:creationId xmlns:a16="http://schemas.microsoft.com/office/drawing/2014/main" id="{797566CF-0847-4137-6F16-502ED3F6A4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7" name="연결선: 꺾임 64586">
          <a:extLst>
            <a:ext uri="{FF2B5EF4-FFF2-40B4-BE49-F238E27FC236}">
              <a16:creationId xmlns:a16="http://schemas.microsoft.com/office/drawing/2014/main" id="{C2EEF254-496F-CAE9-BC7F-FBEDE3CE155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8" name="연결선: 꺾임 64587">
          <a:extLst>
            <a:ext uri="{FF2B5EF4-FFF2-40B4-BE49-F238E27FC236}">
              <a16:creationId xmlns:a16="http://schemas.microsoft.com/office/drawing/2014/main" id="{9017D050-7A1C-A4EC-DB91-A6F4B343A32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589" name="연결선: 꺾임 64588">
          <a:extLst>
            <a:ext uri="{FF2B5EF4-FFF2-40B4-BE49-F238E27FC236}">
              <a16:creationId xmlns:a16="http://schemas.microsoft.com/office/drawing/2014/main" id="{DC81478F-1AAF-52BD-C2CA-7F7613AFC20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0" name="연결선: 꺾임 65019">
          <a:extLst>
            <a:ext uri="{FF2B5EF4-FFF2-40B4-BE49-F238E27FC236}">
              <a16:creationId xmlns:a16="http://schemas.microsoft.com/office/drawing/2014/main" id="{F2D0AFAE-B380-81DD-6BF0-B31F7523DCE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1" name="연결선: 꺾임 65020">
          <a:extLst>
            <a:ext uri="{FF2B5EF4-FFF2-40B4-BE49-F238E27FC236}">
              <a16:creationId xmlns:a16="http://schemas.microsoft.com/office/drawing/2014/main" id="{A2072DD2-C818-C6B3-4213-FA4F7ADEC3A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2" name="연결선: 꺾임 65021">
          <a:extLst>
            <a:ext uri="{FF2B5EF4-FFF2-40B4-BE49-F238E27FC236}">
              <a16:creationId xmlns:a16="http://schemas.microsoft.com/office/drawing/2014/main" id="{2134B19A-39DB-7ECF-8619-1E6FBF0C951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3" name="연결선: 꺾임 65022">
          <a:extLst>
            <a:ext uri="{FF2B5EF4-FFF2-40B4-BE49-F238E27FC236}">
              <a16:creationId xmlns:a16="http://schemas.microsoft.com/office/drawing/2014/main" id="{0093F780-C991-A5BF-F1D4-6F92FD29B67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69" name="연결선: 꺾임 2468">
          <a:extLst>
            <a:ext uri="{FF2B5EF4-FFF2-40B4-BE49-F238E27FC236}">
              <a16:creationId xmlns:a16="http://schemas.microsoft.com/office/drawing/2014/main" id="{7E53FD18-7FE8-E4A9-20A1-0CF009FBE72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0" name="연결선: 꺾임 2469">
          <a:extLst>
            <a:ext uri="{FF2B5EF4-FFF2-40B4-BE49-F238E27FC236}">
              <a16:creationId xmlns:a16="http://schemas.microsoft.com/office/drawing/2014/main" id="{D261BA0D-C275-EF8D-DE8E-203857482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1" name="연결선: 꺾임 2470">
          <a:extLst>
            <a:ext uri="{FF2B5EF4-FFF2-40B4-BE49-F238E27FC236}">
              <a16:creationId xmlns:a16="http://schemas.microsoft.com/office/drawing/2014/main" id="{C92C36E2-D264-B650-B798-7371DBFFBF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2" name="연결선: 꺾임 2471">
          <a:extLst>
            <a:ext uri="{FF2B5EF4-FFF2-40B4-BE49-F238E27FC236}">
              <a16:creationId xmlns:a16="http://schemas.microsoft.com/office/drawing/2014/main" id="{BA2DE6AE-7FF0-2678-B408-E9D4BBD0A73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77" name="연결선: 꺾임 2476">
          <a:extLst>
            <a:ext uri="{FF2B5EF4-FFF2-40B4-BE49-F238E27FC236}">
              <a16:creationId xmlns:a16="http://schemas.microsoft.com/office/drawing/2014/main" id="{5B639AF2-FF79-81A4-08FA-AE790AE57E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489" name="연결선: 꺾임 2488">
          <a:extLst>
            <a:ext uri="{FF2B5EF4-FFF2-40B4-BE49-F238E27FC236}">
              <a16:creationId xmlns:a16="http://schemas.microsoft.com/office/drawing/2014/main" id="{40D0BF11-2E97-7B8C-CA04-BC3240B963F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2" name="연결선: 꺾임 62141">
          <a:extLst>
            <a:ext uri="{FF2B5EF4-FFF2-40B4-BE49-F238E27FC236}">
              <a16:creationId xmlns:a16="http://schemas.microsoft.com/office/drawing/2014/main" id="{984EC6B8-6410-9852-70F2-56D8C1D640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2143" name="연결선: 꺾임 62142">
          <a:extLst>
            <a:ext uri="{FF2B5EF4-FFF2-40B4-BE49-F238E27FC236}">
              <a16:creationId xmlns:a16="http://schemas.microsoft.com/office/drawing/2014/main" id="{804E1636-2A0D-4D5E-C353-26DAADEE99F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6" name="연결선: 꺾임 18005">
          <a:extLst>
            <a:ext uri="{FF2B5EF4-FFF2-40B4-BE49-F238E27FC236}">
              <a16:creationId xmlns:a16="http://schemas.microsoft.com/office/drawing/2014/main" id="{52C625CC-AC12-A021-DFF0-DE6F5EA4FB4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7" name="연결선: 꺾임 18006">
          <a:extLst>
            <a:ext uri="{FF2B5EF4-FFF2-40B4-BE49-F238E27FC236}">
              <a16:creationId xmlns:a16="http://schemas.microsoft.com/office/drawing/2014/main" id="{91870151-864C-F45F-2D28-F39B5805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8" name="연결선: 꺾임 18007">
          <a:extLst>
            <a:ext uri="{FF2B5EF4-FFF2-40B4-BE49-F238E27FC236}">
              <a16:creationId xmlns:a16="http://schemas.microsoft.com/office/drawing/2014/main" id="{9923D2D8-1117-2AAC-967B-0C9A9645F5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09" name="연결선: 꺾임 18008">
          <a:extLst>
            <a:ext uri="{FF2B5EF4-FFF2-40B4-BE49-F238E27FC236}">
              <a16:creationId xmlns:a16="http://schemas.microsoft.com/office/drawing/2014/main" id="{E05FEC3F-8527-3587-8CDB-789893BC82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0" name="연결선: 꺾임 18009">
          <a:extLst>
            <a:ext uri="{FF2B5EF4-FFF2-40B4-BE49-F238E27FC236}">
              <a16:creationId xmlns:a16="http://schemas.microsoft.com/office/drawing/2014/main" id="{E03B5B41-67AF-FAF0-B4A0-D0726D60713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5" name="연결선: 꺾임 18014">
          <a:extLst>
            <a:ext uri="{FF2B5EF4-FFF2-40B4-BE49-F238E27FC236}">
              <a16:creationId xmlns:a16="http://schemas.microsoft.com/office/drawing/2014/main" id="{D9E72948-D6B0-9E28-6A81-184CEC08736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6" name="연결선: 꺾임 18015">
          <a:extLst>
            <a:ext uri="{FF2B5EF4-FFF2-40B4-BE49-F238E27FC236}">
              <a16:creationId xmlns:a16="http://schemas.microsoft.com/office/drawing/2014/main" id="{C251DE3C-B811-A6A0-1735-2B7A534008F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19" name="연결선: 꺾임 18018">
          <a:extLst>
            <a:ext uri="{FF2B5EF4-FFF2-40B4-BE49-F238E27FC236}">
              <a16:creationId xmlns:a16="http://schemas.microsoft.com/office/drawing/2014/main" id="{AA5C8949-BE46-9526-CE80-F065C16405A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3" name="연결선: 꺾임 18092">
          <a:extLst>
            <a:ext uri="{FF2B5EF4-FFF2-40B4-BE49-F238E27FC236}">
              <a16:creationId xmlns:a16="http://schemas.microsoft.com/office/drawing/2014/main" id="{E475088F-3262-56AE-FAD2-24AA9888629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4" name="연결선: 꺾임 18093">
          <a:extLst>
            <a:ext uri="{FF2B5EF4-FFF2-40B4-BE49-F238E27FC236}">
              <a16:creationId xmlns:a16="http://schemas.microsoft.com/office/drawing/2014/main" id="{51C742BC-6B54-1837-3F39-B0144B1C05E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5" name="연결선: 꺾임 18094">
          <a:extLst>
            <a:ext uri="{FF2B5EF4-FFF2-40B4-BE49-F238E27FC236}">
              <a16:creationId xmlns:a16="http://schemas.microsoft.com/office/drawing/2014/main" id="{19E0BC51-DFB7-DE5E-144C-9ACD06B36E94}"/>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6" name="연결선: 꺾임 18095">
          <a:extLst>
            <a:ext uri="{FF2B5EF4-FFF2-40B4-BE49-F238E27FC236}">
              <a16:creationId xmlns:a16="http://schemas.microsoft.com/office/drawing/2014/main" id="{A03E2225-B689-ECE1-4A7F-C9D40678950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7" name="연결선: 꺾임 18096">
          <a:extLst>
            <a:ext uri="{FF2B5EF4-FFF2-40B4-BE49-F238E27FC236}">
              <a16:creationId xmlns:a16="http://schemas.microsoft.com/office/drawing/2014/main" id="{9A8987D1-8A18-1092-EA8A-889A963261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8" name="연결선: 꺾임 18097">
          <a:extLst>
            <a:ext uri="{FF2B5EF4-FFF2-40B4-BE49-F238E27FC236}">
              <a16:creationId xmlns:a16="http://schemas.microsoft.com/office/drawing/2014/main" id="{0188D246-7F65-6949-9D3A-B47A3610639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099" name="연결선: 꺾임 18098">
          <a:extLst>
            <a:ext uri="{FF2B5EF4-FFF2-40B4-BE49-F238E27FC236}">
              <a16:creationId xmlns:a16="http://schemas.microsoft.com/office/drawing/2014/main" id="{3106AB82-738C-27C7-C365-F4C5FA6D315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2" name="연결선: 꺾임 18101">
          <a:extLst>
            <a:ext uri="{FF2B5EF4-FFF2-40B4-BE49-F238E27FC236}">
              <a16:creationId xmlns:a16="http://schemas.microsoft.com/office/drawing/2014/main" id="{E52F2EBD-908A-C926-9E72-C1E2E78000B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5" name="연결선: 꺾임 18104">
          <a:extLst>
            <a:ext uri="{FF2B5EF4-FFF2-40B4-BE49-F238E27FC236}">
              <a16:creationId xmlns:a16="http://schemas.microsoft.com/office/drawing/2014/main" id="{9793BD45-ABA1-9786-F0ED-99B3980C1AC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106" name="연결선: 꺾임 18105">
          <a:extLst>
            <a:ext uri="{FF2B5EF4-FFF2-40B4-BE49-F238E27FC236}">
              <a16:creationId xmlns:a16="http://schemas.microsoft.com/office/drawing/2014/main" id="{9B76579F-F040-D589-0610-B83F09DFABEF}"/>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8" name="연결선: 꺾임 18557">
          <a:extLst>
            <a:ext uri="{FF2B5EF4-FFF2-40B4-BE49-F238E27FC236}">
              <a16:creationId xmlns:a16="http://schemas.microsoft.com/office/drawing/2014/main" id="{51B6FA91-CDE0-BDDD-FF12-36455873FA8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8559" name="연결선: 꺾임 18558">
          <a:extLst>
            <a:ext uri="{FF2B5EF4-FFF2-40B4-BE49-F238E27FC236}">
              <a16:creationId xmlns:a16="http://schemas.microsoft.com/office/drawing/2014/main" id="{C8D308AD-171E-D90B-6E82-5B7ECBEA60C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4" name="연결선: 꺾임 65023">
          <a:extLst>
            <a:ext uri="{FF2B5EF4-FFF2-40B4-BE49-F238E27FC236}">
              <a16:creationId xmlns:a16="http://schemas.microsoft.com/office/drawing/2014/main" id="{57ADA8EC-06EE-A9B7-EB46-61BB02420AE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5" name="연결선: 꺾임 65024">
          <a:extLst>
            <a:ext uri="{FF2B5EF4-FFF2-40B4-BE49-F238E27FC236}">
              <a16:creationId xmlns:a16="http://schemas.microsoft.com/office/drawing/2014/main" id="{8A5A6EA0-4258-7024-E290-46177D560C6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6" name="연결선: 꺾임 65025">
          <a:extLst>
            <a:ext uri="{FF2B5EF4-FFF2-40B4-BE49-F238E27FC236}">
              <a16:creationId xmlns:a16="http://schemas.microsoft.com/office/drawing/2014/main" id="{E37EA1BD-B445-A188-21A4-0DEAE6E4144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7" name="연결선: 꺾임 65026">
          <a:extLst>
            <a:ext uri="{FF2B5EF4-FFF2-40B4-BE49-F238E27FC236}">
              <a16:creationId xmlns:a16="http://schemas.microsoft.com/office/drawing/2014/main" id="{21306D9D-C7A4-4012-39E8-4B4F864131A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8" name="연결선: 꺾임 65027">
          <a:extLst>
            <a:ext uri="{FF2B5EF4-FFF2-40B4-BE49-F238E27FC236}">
              <a16:creationId xmlns:a16="http://schemas.microsoft.com/office/drawing/2014/main" id="{EFA5DEB7-5BDA-C859-2442-4B90CED6AA7B}"/>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29" name="연결선: 꺾임 65028">
          <a:extLst>
            <a:ext uri="{FF2B5EF4-FFF2-40B4-BE49-F238E27FC236}">
              <a16:creationId xmlns:a16="http://schemas.microsoft.com/office/drawing/2014/main" id="{AE37AE3B-0FEB-F91C-0831-55D01E8867F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0" name="연결선: 꺾임 65029">
          <a:extLst>
            <a:ext uri="{FF2B5EF4-FFF2-40B4-BE49-F238E27FC236}">
              <a16:creationId xmlns:a16="http://schemas.microsoft.com/office/drawing/2014/main" id="{D2062BCC-D9E4-FCE4-6B13-6A4E3EC56B8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5031" name="연결선: 꺾임 65030">
          <a:extLst>
            <a:ext uri="{FF2B5EF4-FFF2-40B4-BE49-F238E27FC236}">
              <a16:creationId xmlns:a16="http://schemas.microsoft.com/office/drawing/2014/main" id="{B984029B-012D-9FE2-2F5B-DD8B6B607B4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 name="연결선: 꺾임 1">
          <a:extLst>
            <a:ext uri="{FF2B5EF4-FFF2-40B4-BE49-F238E27FC236}">
              <a16:creationId xmlns:a16="http://schemas.microsoft.com/office/drawing/2014/main" id="{FE770DC8-1770-3341-F8E5-ECC3728B26B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 name="연결선: 꺾임 2">
          <a:extLst>
            <a:ext uri="{FF2B5EF4-FFF2-40B4-BE49-F238E27FC236}">
              <a16:creationId xmlns:a16="http://schemas.microsoft.com/office/drawing/2014/main" id="{1B58055E-5481-832C-843E-F06B9CBD1A85}"/>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4" name="연결선: 꺾임 3">
          <a:extLst>
            <a:ext uri="{FF2B5EF4-FFF2-40B4-BE49-F238E27FC236}">
              <a16:creationId xmlns:a16="http://schemas.microsoft.com/office/drawing/2014/main" id="{35405D84-FD62-8EFC-0FEA-EDC869ED3CB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5" name="연결선: 꺾임 4">
          <a:extLst>
            <a:ext uri="{FF2B5EF4-FFF2-40B4-BE49-F238E27FC236}">
              <a16:creationId xmlns:a16="http://schemas.microsoft.com/office/drawing/2014/main" id="{F8F3C140-5BFC-70A2-5B34-4F4506B39AC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 name="연결선: 꺾임 5">
          <a:extLst>
            <a:ext uri="{FF2B5EF4-FFF2-40B4-BE49-F238E27FC236}">
              <a16:creationId xmlns:a16="http://schemas.microsoft.com/office/drawing/2014/main" id="{72A04482-9EB7-812D-74E0-41D795EB450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7" name="연결선: 꺾임 6">
          <a:extLst>
            <a:ext uri="{FF2B5EF4-FFF2-40B4-BE49-F238E27FC236}">
              <a16:creationId xmlns:a16="http://schemas.microsoft.com/office/drawing/2014/main" id="{8BC4F911-3FCB-81DB-CF72-0CD3456F7EF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8" name="연결선: 꺾임 7">
          <a:extLst>
            <a:ext uri="{FF2B5EF4-FFF2-40B4-BE49-F238E27FC236}">
              <a16:creationId xmlns:a16="http://schemas.microsoft.com/office/drawing/2014/main" id="{B88AD0BF-6DF5-3E77-B695-7199C702FB1C}"/>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9" name="연결선: 꺾임 8">
          <a:extLst>
            <a:ext uri="{FF2B5EF4-FFF2-40B4-BE49-F238E27FC236}">
              <a16:creationId xmlns:a16="http://schemas.microsoft.com/office/drawing/2014/main" id="{4C9FEC97-849D-1345-E481-B6532653D2B2}"/>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 name="연결선: 꺾임 13">
          <a:extLst>
            <a:ext uri="{FF2B5EF4-FFF2-40B4-BE49-F238E27FC236}">
              <a16:creationId xmlns:a16="http://schemas.microsoft.com/office/drawing/2014/main" id="{AC5675C3-B306-9F79-04AB-32013A168E1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5" name="연결선: 꺾임 14">
          <a:extLst>
            <a:ext uri="{FF2B5EF4-FFF2-40B4-BE49-F238E27FC236}">
              <a16:creationId xmlns:a16="http://schemas.microsoft.com/office/drawing/2014/main" id="{4EB79892-F20B-6BB3-5119-044C4CA302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6" name="연결선: 꺾임 15">
          <a:extLst>
            <a:ext uri="{FF2B5EF4-FFF2-40B4-BE49-F238E27FC236}">
              <a16:creationId xmlns:a16="http://schemas.microsoft.com/office/drawing/2014/main" id="{52F2AE0E-2E54-46A3-C84D-13981CF065C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6" name="연결선: 꺾임 25">
          <a:extLst>
            <a:ext uri="{FF2B5EF4-FFF2-40B4-BE49-F238E27FC236}">
              <a16:creationId xmlns:a16="http://schemas.microsoft.com/office/drawing/2014/main" id="{D8A5C15E-4674-B050-14E8-92AF66AB101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7" name="연결선: 꺾임 26">
          <a:extLst>
            <a:ext uri="{FF2B5EF4-FFF2-40B4-BE49-F238E27FC236}">
              <a16:creationId xmlns:a16="http://schemas.microsoft.com/office/drawing/2014/main" id="{CF0552C7-2268-43CC-AC33-ABE1C12E34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8" name="연결선: 꺾임 27">
          <a:extLst>
            <a:ext uri="{FF2B5EF4-FFF2-40B4-BE49-F238E27FC236}">
              <a16:creationId xmlns:a16="http://schemas.microsoft.com/office/drawing/2014/main" id="{FD3BACAC-B665-CECA-A225-8CB2E640A19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9" name="연결선: 꺾임 28">
          <a:extLst>
            <a:ext uri="{FF2B5EF4-FFF2-40B4-BE49-F238E27FC236}">
              <a16:creationId xmlns:a16="http://schemas.microsoft.com/office/drawing/2014/main" id="{5F07CD6B-A8A7-DC1C-CF49-A9B9C37A955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0" name="연결선: 꺾임 29">
          <a:extLst>
            <a:ext uri="{FF2B5EF4-FFF2-40B4-BE49-F238E27FC236}">
              <a16:creationId xmlns:a16="http://schemas.microsoft.com/office/drawing/2014/main" id="{26ED58F9-E763-7D0D-B51B-6FFAD043726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1" name="연결선: 꺾임 30">
          <a:extLst>
            <a:ext uri="{FF2B5EF4-FFF2-40B4-BE49-F238E27FC236}">
              <a16:creationId xmlns:a16="http://schemas.microsoft.com/office/drawing/2014/main" id="{59FD4D27-821B-8C65-BFAF-BB6154DD2EB8}"/>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2" name="연결선: 꺾임 31">
          <a:extLst>
            <a:ext uri="{FF2B5EF4-FFF2-40B4-BE49-F238E27FC236}">
              <a16:creationId xmlns:a16="http://schemas.microsoft.com/office/drawing/2014/main" id="{945C5FD5-70FD-F173-2EFC-F67F532FFACA}"/>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3" name="연결선: 꺾임 32">
          <a:extLst>
            <a:ext uri="{FF2B5EF4-FFF2-40B4-BE49-F238E27FC236}">
              <a16:creationId xmlns:a16="http://schemas.microsoft.com/office/drawing/2014/main" id="{8253923E-3D0D-B3F4-7C15-F87DF409164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38" name="연결선: 꺾임 37">
          <a:extLst>
            <a:ext uri="{FF2B5EF4-FFF2-40B4-BE49-F238E27FC236}">
              <a16:creationId xmlns:a16="http://schemas.microsoft.com/office/drawing/2014/main" id="{A78D2D55-BC5D-DB43-B682-E06392605FE3}"/>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64695" name="연결선: 꺾임 64694">
          <a:extLst>
            <a:ext uri="{FF2B5EF4-FFF2-40B4-BE49-F238E27FC236}">
              <a16:creationId xmlns:a16="http://schemas.microsoft.com/office/drawing/2014/main" id="{9B384537-05A3-0F1B-C4A0-DED8632386A1}"/>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82732</xdr:colOff>
      <xdr:row>3</xdr:row>
      <xdr:rowOff>76073</xdr:rowOff>
    </xdr:from>
    <xdr:to>
      <xdr:col>32</xdr:col>
      <xdr:colOff>82732</xdr:colOff>
      <xdr:row>28</xdr:row>
      <xdr:rowOff>0</xdr:rowOff>
    </xdr:to>
    <xdr:cxnSp macro="">
      <xdr:nvCxnSpPr>
        <xdr:cNvPr id="64991" name="직선 화살표 연결선 64990">
          <a:extLst>
            <a:ext uri="{FF2B5EF4-FFF2-40B4-BE49-F238E27FC236}">
              <a16:creationId xmlns:a16="http://schemas.microsoft.com/office/drawing/2014/main" id="{E8F6CBDA-7890-E1E4-F1A0-00B8546D382C}"/>
            </a:ext>
          </a:extLst>
        </xdr:cNvPr>
        <xdr:cNvCxnSpPr/>
      </xdr:nvCxnSpPr>
      <xdr:spPr>
        <a:xfrm>
          <a:off x="10400212" y="815213"/>
          <a:ext cx="0" cy="368820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27</xdr:row>
      <xdr:rowOff>19050</xdr:rowOff>
    </xdr:from>
    <xdr:to>
      <xdr:col>32</xdr:col>
      <xdr:colOff>84001</xdr:colOff>
      <xdr:row>27</xdr:row>
      <xdr:rowOff>133350</xdr:rowOff>
    </xdr:to>
    <xdr:sp macro="" textlink="">
      <xdr:nvSpPr>
        <xdr:cNvPr id="64992" name="24">
          <a:extLst>
            <a:ext uri="{FF2B5EF4-FFF2-40B4-BE49-F238E27FC236}">
              <a16:creationId xmlns:a16="http://schemas.microsoft.com/office/drawing/2014/main" id="{0991FED8-9FB7-29D0-327F-973018897ABD}"/>
            </a:ext>
          </a:extLst>
        </xdr:cNvPr>
        <xdr:cNvSpPr/>
      </xdr:nvSpPr>
      <xdr:spPr>
        <a:xfrm>
          <a:off x="10276115" y="43700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27</xdr:row>
      <xdr:rowOff>76200</xdr:rowOff>
    </xdr:from>
    <xdr:to>
      <xdr:col>32</xdr:col>
      <xdr:colOff>82732</xdr:colOff>
      <xdr:row>27</xdr:row>
      <xdr:rowOff>76200</xdr:rowOff>
    </xdr:to>
    <xdr:cxnSp macro="">
      <xdr:nvCxnSpPr>
        <xdr:cNvPr id="64993" name="직선 화살표 연결선 64992">
          <a:extLst>
            <a:ext uri="{FF2B5EF4-FFF2-40B4-BE49-F238E27FC236}">
              <a16:creationId xmlns:a16="http://schemas.microsoft.com/office/drawing/2014/main" id="{829FD991-F64A-5E95-5749-E46A538B00A6}"/>
            </a:ext>
          </a:extLst>
        </xdr:cNvPr>
        <xdr:cNvCxnSpPr/>
      </xdr:nvCxnSpPr>
      <xdr:spPr>
        <a:xfrm>
          <a:off x="10276115" y="44272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26</xdr:row>
      <xdr:rowOff>19050</xdr:rowOff>
    </xdr:from>
    <xdr:to>
      <xdr:col>32</xdr:col>
      <xdr:colOff>84001</xdr:colOff>
      <xdr:row>26</xdr:row>
      <xdr:rowOff>133350</xdr:rowOff>
    </xdr:to>
    <xdr:sp macro="" textlink="">
      <xdr:nvSpPr>
        <xdr:cNvPr id="64994" name="23">
          <a:extLst>
            <a:ext uri="{FF2B5EF4-FFF2-40B4-BE49-F238E27FC236}">
              <a16:creationId xmlns:a16="http://schemas.microsoft.com/office/drawing/2014/main" id="{15AE02B3-0295-4262-5CB9-4F768979FA52}"/>
            </a:ext>
          </a:extLst>
        </xdr:cNvPr>
        <xdr:cNvSpPr/>
      </xdr:nvSpPr>
      <xdr:spPr>
        <a:xfrm>
          <a:off x="10276115" y="42176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26</xdr:row>
      <xdr:rowOff>76200</xdr:rowOff>
    </xdr:from>
    <xdr:to>
      <xdr:col>32</xdr:col>
      <xdr:colOff>82732</xdr:colOff>
      <xdr:row>26</xdr:row>
      <xdr:rowOff>76200</xdr:rowOff>
    </xdr:to>
    <xdr:cxnSp macro="">
      <xdr:nvCxnSpPr>
        <xdr:cNvPr id="64995" name="직선 화살표 연결선 64994">
          <a:extLst>
            <a:ext uri="{FF2B5EF4-FFF2-40B4-BE49-F238E27FC236}">
              <a16:creationId xmlns:a16="http://schemas.microsoft.com/office/drawing/2014/main" id="{212ACC79-BF98-B910-28A6-E02486502846}"/>
            </a:ext>
          </a:extLst>
        </xdr:cNvPr>
        <xdr:cNvCxnSpPr/>
      </xdr:nvCxnSpPr>
      <xdr:spPr>
        <a:xfrm>
          <a:off x="10276115" y="42748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25</xdr:row>
      <xdr:rowOff>19050</xdr:rowOff>
    </xdr:from>
    <xdr:to>
      <xdr:col>32</xdr:col>
      <xdr:colOff>84001</xdr:colOff>
      <xdr:row>25</xdr:row>
      <xdr:rowOff>133350</xdr:rowOff>
    </xdr:to>
    <xdr:sp macro="" textlink="">
      <xdr:nvSpPr>
        <xdr:cNvPr id="64996" name="22">
          <a:extLst>
            <a:ext uri="{FF2B5EF4-FFF2-40B4-BE49-F238E27FC236}">
              <a16:creationId xmlns:a16="http://schemas.microsoft.com/office/drawing/2014/main" id="{3C2CFAC8-178F-21EA-54F3-E9FA580F9D6F}"/>
            </a:ext>
          </a:extLst>
        </xdr:cNvPr>
        <xdr:cNvSpPr/>
      </xdr:nvSpPr>
      <xdr:spPr>
        <a:xfrm>
          <a:off x="10276115" y="40652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25</xdr:row>
      <xdr:rowOff>76200</xdr:rowOff>
    </xdr:from>
    <xdr:to>
      <xdr:col>32</xdr:col>
      <xdr:colOff>82732</xdr:colOff>
      <xdr:row>25</xdr:row>
      <xdr:rowOff>76200</xdr:rowOff>
    </xdr:to>
    <xdr:cxnSp macro="">
      <xdr:nvCxnSpPr>
        <xdr:cNvPr id="64997" name="직선 화살표 연결선 64996">
          <a:extLst>
            <a:ext uri="{FF2B5EF4-FFF2-40B4-BE49-F238E27FC236}">
              <a16:creationId xmlns:a16="http://schemas.microsoft.com/office/drawing/2014/main" id="{6B65CB95-5266-0F5D-1816-F9F898AA4A49}"/>
            </a:ext>
          </a:extLst>
        </xdr:cNvPr>
        <xdr:cNvCxnSpPr/>
      </xdr:nvCxnSpPr>
      <xdr:spPr>
        <a:xfrm>
          <a:off x="10276115" y="41224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24</xdr:row>
      <xdr:rowOff>19050</xdr:rowOff>
    </xdr:from>
    <xdr:to>
      <xdr:col>32</xdr:col>
      <xdr:colOff>84001</xdr:colOff>
      <xdr:row>24</xdr:row>
      <xdr:rowOff>133350</xdr:rowOff>
    </xdr:to>
    <xdr:sp macro="" textlink="">
      <xdr:nvSpPr>
        <xdr:cNvPr id="64998" name="21">
          <a:extLst>
            <a:ext uri="{FF2B5EF4-FFF2-40B4-BE49-F238E27FC236}">
              <a16:creationId xmlns:a16="http://schemas.microsoft.com/office/drawing/2014/main" id="{A7AE7A18-F2A4-F076-C089-DE37DD03D970}"/>
            </a:ext>
          </a:extLst>
        </xdr:cNvPr>
        <xdr:cNvSpPr/>
      </xdr:nvSpPr>
      <xdr:spPr>
        <a:xfrm>
          <a:off x="10276115" y="39128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24</xdr:row>
      <xdr:rowOff>76200</xdr:rowOff>
    </xdr:from>
    <xdr:to>
      <xdr:col>32</xdr:col>
      <xdr:colOff>82732</xdr:colOff>
      <xdr:row>24</xdr:row>
      <xdr:rowOff>76200</xdr:rowOff>
    </xdr:to>
    <xdr:cxnSp macro="">
      <xdr:nvCxnSpPr>
        <xdr:cNvPr id="64999" name="직선 화살표 연결선 64998">
          <a:extLst>
            <a:ext uri="{FF2B5EF4-FFF2-40B4-BE49-F238E27FC236}">
              <a16:creationId xmlns:a16="http://schemas.microsoft.com/office/drawing/2014/main" id="{25DDD4C0-EA9C-77D7-0057-58D8169EC505}"/>
            </a:ext>
          </a:extLst>
        </xdr:cNvPr>
        <xdr:cNvCxnSpPr/>
      </xdr:nvCxnSpPr>
      <xdr:spPr>
        <a:xfrm>
          <a:off x="10276115" y="39700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23</xdr:row>
      <xdr:rowOff>19050</xdr:rowOff>
    </xdr:from>
    <xdr:to>
      <xdr:col>32</xdr:col>
      <xdr:colOff>84001</xdr:colOff>
      <xdr:row>23</xdr:row>
      <xdr:rowOff>133350</xdr:rowOff>
    </xdr:to>
    <xdr:sp macro="" textlink="">
      <xdr:nvSpPr>
        <xdr:cNvPr id="65000" name="20">
          <a:extLst>
            <a:ext uri="{FF2B5EF4-FFF2-40B4-BE49-F238E27FC236}">
              <a16:creationId xmlns:a16="http://schemas.microsoft.com/office/drawing/2014/main" id="{862C3839-4C74-0FF5-0E0C-FDF67BEA5038}"/>
            </a:ext>
          </a:extLst>
        </xdr:cNvPr>
        <xdr:cNvSpPr/>
      </xdr:nvSpPr>
      <xdr:spPr>
        <a:xfrm>
          <a:off x="10276115" y="37604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23</xdr:row>
      <xdr:rowOff>76200</xdr:rowOff>
    </xdr:from>
    <xdr:to>
      <xdr:col>32</xdr:col>
      <xdr:colOff>82732</xdr:colOff>
      <xdr:row>23</xdr:row>
      <xdr:rowOff>76200</xdr:rowOff>
    </xdr:to>
    <xdr:cxnSp macro="">
      <xdr:nvCxnSpPr>
        <xdr:cNvPr id="65001" name="직선 화살표 연결선 65000">
          <a:extLst>
            <a:ext uri="{FF2B5EF4-FFF2-40B4-BE49-F238E27FC236}">
              <a16:creationId xmlns:a16="http://schemas.microsoft.com/office/drawing/2014/main" id="{4B32F324-7623-890D-0DDF-23FDFD8B8541}"/>
            </a:ext>
          </a:extLst>
        </xdr:cNvPr>
        <xdr:cNvCxnSpPr/>
      </xdr:nvCxnSpPr>
      <xdr:spPr>
        <a:xfrm>
          <a:off x="10276115" y="38176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22</xdr:row>
      <xdr:rowOff>19050</xdr:rowOff>
    </xdr:from>
    <xdr:to>
      <xdr:col>32</xdr:col>
      <xdr:colOff>84001</xdr:colOff>
      <xdr:row>22</xdr:row>
      <xdr:rowOff>133350</xdr:rowOff>
    </xdr:to>
    <xdr:sp macro="" textlink="">
      <xdr:nvSpPr>
        <xdr:cNvPr id="65002" name="19">
          <a:extLst>
            <a:ext uri="{FF2B5EF4-FFF2-40B4-BE49-F238E27FC236}">
              <a16:creationId xmlns:a16="http://schemas.microsoft.com/office/drawing/2014/main" id="{377C644D-E2CD-4806-9F8C-0FBB4A550516}"/>
            </a:ext>
          </a:extLst>
        </xdr:cNvPr>
        <xdr:cNvSpPr/>
      </xdr:nvSpPr>
      <xdr:spPr>
        <a:xfrm>
          <a:off x="10276115" y="36080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22</xdr:row>
      <xdr:rowOff>76200</xdr:rowOff>
    </xdr:from>
    <xdr:to>
      <xdr:col>32</xdr:col>
      <xdr:colOff>82732</xdr:colOff>
      <xdr:row>22</xdr:row>
      <xdr:rowOff>76200</xdr:rowOff>
    </xdr:to>
    <xdr:cxnSp macro="">
      <xdr:nvCxnSpPr>
        <xdr:cNvPr id="65003" name="직선 화살표 연결선 65002">
          <a:extLst>
            <a:ext uri="{FF2B5EF4-FFF2-40B4-BE49-F238E27FC236}">
              <a16:creationId xmlns:a16="http://schemas.microsoft.com/office/drawing/2014/main" id="{399D29B0-3A99-BFAF-7792-EE5AC5C1562A}"/>
            </a:ext>
          </a:extLst>
        </xdr:cNvPr>
        <xdr:cNvCxnSpPr/>
      </xdr:nvCxnSpPr>
      <xdr:spPr>
        <a:xfrm>
          <a:off x="10276115" y="36652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21</xdr:row>
      <xdr:rowOff>19050</xdr:rowOff>
    </xdr:from>
    <xdr:to>
      <xdr:col>32</xdr:col>
      <xdr:colOff>84001</xdr:colOff>
      <xdr:row>21</xdr:row>
      <xdr:rowOff>133350</xdr:rowOff>
    </xdr:to>
    <xdr:sp macro="" textlink="">
      <xdr:nvSpPr>
        <xdr:cNvPr id="65004" name="18">
          <a:extLst>
            <a:ext uri="{FF2B5EF4-FFF2-40B4-BE49-F238E27FC236}">
              <a16:creationId xmlns:a16="http://schemas.microsoft.com/office/drawing/2014/main" id="{C7088FF4-8013-62D6-61E7-CA8D5697D8C1}"/>
            </a:ext>
          </a:extLst>
        </xdr:cNvPr>
        <xdr:cNvSpPr/>
      </xdr:nvSpPr>
      <xdr:spPr>
        <a:xfrm>
          <a:off x="10276115" y="34556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21</xdr:row>
      <xdr:rowOff>76200</xdr:rowOff>
    </xdr:from>
    <xdr:to>
      <xdr:col>32</xdr:col>
      <xdr:colOff>82732</xdr:colOff>
      <xdr:row>21</xdr:row>
      <xdr:rowOff>76200</xdr:rowOff>
    </xdr:to>
    <xdr:cxnSp macro="">
      <xdr:nvCxnSpPr>
        <xdr:cNvPr id="65005" name="직선 화살표 연결선 65004">
          <a:extLst>
            <a:ext uri="{FF2B5EF4-FFF2-40B4-BE49-F238E27FC236}">
              <a16:creationId xmlns:a16="http://schemas.microsoft.com/office/drawing/2014/main" id="{43098B23-EDD1-3F8F-A67A-EE3CE9A03A8C}"/>
            </a:ext>
          </a:extLst>
        </xdr:cNvPr>
        <xdr:cNvCxnSpPr/>
      </xdr:nvCxnSpPr>
      <xdr:spPr>
        <a:xfrm>
          <a:off x="10276115" y="35128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20</xdr:row>
      <xdr:rowOff>19050</xdr:rowOff>
    </xdr:from>
    <xdr:to>
      <xdr:col>32</xdr:col>
      <xdr:colOff>84001</xdr:colOff>
      <xdr:row>20</xdr:row>
      <xdr:rowOff>133350</xdr:rowOff>
    </xdr:to>
    <xdr:sp macro="" textlink="">
      <xdr:nvSpPr>
        <xdr:cNvPr id="65006" name="17">
          <a:extLst>
            <a:ext uri="{FF2B5EF4-FFF2-40B4-BE49-F238E27FC236}">
              <a16:creationId xmlns:a16="http://schemas.microsoft.com/office/drawing/2014/main" id="{9B8862E7-10D8-AFCA-9A94-C674D713D2A4}"/>
            </a:ext>
          </a:extLst>
        </xdr:cNvPr>
        <xdr:cNvSpPr/>
      </xdr:nvSpPr>
      <xdr:spPr>
        <a:xfrm>
          <a:off x="10276115" y="33032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20</xdr:row>
      <xdr:rowOff>76200</xdr:rowOff>
    </xdr:from>
    <xdr:to>
      <xdr:col>32</xdr:col>
      <xdr:colOff>82732</xdr:colOff>
      <xdr:row>20</xdr:row>
      <xdr:rowOff>76200</xdr:rowOff>
    </xdr:to>
    <xdr:cxnSp macro="">
      <xdr:nvCxnSpPr>
        <xdr:cNvPr id="65007" name="직선 화살표 연결선 65006">
          <a:extLst>
            <a:ext uri="{FF2B5EF4-FFF2-40B4-BE49-F238E27FC236}">
              <a16:creationId xmlns:a16="http://schemas.microsoft.com/office/drawing/2014/main" id="{7E304206-BD32-0087-ED1E-C27CF0602465}"/>
            </a:ext>
          </a:extLst>
        </xdr:cNvPr>
        <xdr:cNvCxnSpPr/>
      </xdr:nvCxnSpPr>
      <xdr:spPr>
        <a:xfrm>
          <a:off x="10276115" y="33604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19</xdr:row>
      <xdr:rowOff>19050</xdr:rowOff>
    </xdr:from>
    <xdr:to>
      <xdr:col>32</xdr:col>
      <xdr:colOff>84001</xdr:colOff>
      <xdr:row>19</xdr:row>
      <xdr:rowOff>133350</xdr:rowOff>
    </xdr:to>
    <xdr:sp macro="" textlink="">
      <xdr:nvSpPr>
        <xdr:cNvPr id="65008" name="16">
          <a:extLst>
            <a:ext uri="{FF2B5EF4-FFF2-40B4-BE49-F238E27FC236}">
              <a16:creationId xmlns:a16="http://schemas.microsoft.com/office/drawing/2014/main" id="{B1E3A160-6EAC-D203-D830-5362BE84E25D}"/>
            </a:ext>
          </a:extLst>
        </xdr:cNvPr>
        <xdr:cNvSpPr/>
      </xdr:nvSpPr>
      <xdr:spPr>
        <a:xfrm>
          <a:off x="10276115" y="3150870"/>
          <a:ext cx="1253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19</xdr:row>
      <xdr:rowOff>76200</xdr:rowOff>
    </xdr:from>
    <xdr:to>
      <xdr:col>32</xdr:col>
      <xdr:colOff>82732</xdr:colOff>
      <xdr:row>19</xdr:row>
      <xdr:rowOff>76200</xdr:rowOff>
    </xdr:to>
    <xdr:cxnSp macro="">
      <xdr:nvCxnSpPr>
        <xdr:cNvPr id="65009" name="직선 화살표 연결선 65008">
          <a:extLst>
            <a:ext uri="{FF2B5EF4-FFF2-40B4-BE49-F238E27FC236}">
              <a16:creationId xmlns:a16="http://schemas.microsoft.com/office/drawing/2014/main" id="{10971F5A-102B-AE87-D37C-5465BEC3A74C}"/>
            </a:ext>
          </a:extLst>
        </xdr:cNvPr>
        <xdr:cNvCxnSpPr/>
      </xdr:nvCxnSpPr>
      <xdr:spPr>
        <a:xfrm>
          <a:off x="10276115" y="32080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103415</xdr:colOff>
      <xdr:row>18</xdr:row>
      <xdr:rowOff>19050</xdr:rowOff>
    </xdr:from>
    <xdr:to>
      <xdr:col>32</xdr:col>
      <xdr:colOff>84001</xdr:colOff>
      <xdr:row>18</xdr:row>
      <xdr:rowOff>133350</xdr:rowOff>
    </xdr:to>
    <xdr:sp macro="" textlink="">
      <xdr:nvSpPr>
        <xdr:cNvPr id="65010" name="15">
          <a:extLst>
            <a:ext uri="{FF2B5EF4-FFF2-40B4-BE49-F238E27FC236}">
              <a16:creationId xmlns:a16="http://schemas.microsoft.com/office/drawing/2014/main" id="{48D37A10-9283-5F2F-D25F-E3B6B0C01B17}"/>
            </a:ext>
          </a:extLst>
        </xdr:cNvPr>
        <xdr:cNvSpPr/>
      </xdr:nvSpPr>
      <xdr:spPr>
        <a:xfrm>
          <a:off x="10276115" y="2998470"/>
          <a:ext cx="12536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103415</xdr:colOff>
      <xdr:row>18</xdr:row>
      <xdr:rowOff>76200</xdr:rowOff>
    </xdr:from>
    <xdr:to>
      <xdr:col>32</xdr:col>
      <xdr:colOff>82732</xdr:colOff>
      <xdr:row>18</xdr:row>
      <xdr:rowOff>76200</xdr:rowOff>
    </xdr:to>
    <xdr:cxnSp macro="">
      <xdr:nvCxnSpPr>
        <xdr:cNvPr id="65011" name="직선 화살표 연결선 65010">
          <a:extLst>
            <a:ext uri="{FF2B5EF4-FFF2-40B4-BE49-F238E27FC236}">
              <a16:creationId xmlns:a16="http://schemas.microsoft.com/office/drawing/2014/main" id="{F6C2D170-00E3-22C6-55FB-868684943015}"/>
            </a:ext>
          </a:extLst>
        </xdr:cNvPr>
        <xdr:cNvCxnSpPr/>
      </xdr:nvCxnSpPr>
      <xdr:spPr>
        <a:xfrm>
          <a:off x="10276115" y="3055620"/>
          <a:ext cx="1240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16</xdr:row>
      <xdr:rowOff>19050</xdr:rowOff>
    </xdr:from>
    <xdr:to>
      <xdr:col>31</xdr:col>
      <xdr:colOff>125367</xdr:colOff>
      <xdr:row>16</xdr:row>
      <xdr:rowOff>133350</xdr:rowOff>
    </xdr:to>
    <xdr:sp macro="" textlink="">
      <xdr:nvSpPr>
        <xdr:cNvPr id="65012" name="13">
          <a:extLst>
            <a:ext uri="{FF2B5EF4-FFF2-40B4-BE49-F238E27FC236}">
              <a16:creationId xmlns:a16="http://schemas.microsoft.com/office/drawing/2014/main" id="{AE0AFE23-3E65-CA0B-0F01-EC31EF594770}"/>
            </a:ext>
          </a:extLst>
        </xdr:cNvPr>
        <xdr:cNvSpPr/>
      </xdr:nvSpPr>
      <xdr:spPr>
        <a:xfrm>
          <a:off x="10214066" y="26936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16</xdr:row>
      <xdr:rowOff>76200</xdr:rowOff>
    </xdr:from>
    <xdr:to>
      <xdr:col>31</xdr:col>
      <xdr:colOff>124097</xdr:colOff>
      <xdr:row>16</xdr:row>
      <xdr:rowOff>76200</xdr:rowOff>
    </xdr:to>
    <xdr:cxnSp macro="">
      <xdr:nvCxnSpPr>
        <xdr:cNvPr id="65013" name="직선 화살표 연결선 65012">
          <a:extLst>
            <a:ext uri="{FF2B5EF4-FFF2-40B4-BE49-F238E27FC236}">
              <a16:creationId xmlns:a16="http://schemas.microsoft.com/office/drawing/2014/main" id="{3CC28B6C-BACA-FB5D-5ECD-B4C97F0BB0CD}"/>
            </a:ext>
          </a:extLst>
        </xdr:cNvPr>
        <xdr:cNvCxnSpPr/>
      </xdr:nvCxnSpPr>
      <xdr:spPr>
        <a:xfrm>
          <a:off x="10214066" y="275082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15</xdr:row>
      <xdr:rowOff>19050</xdr:rowOff>
    </xdr:from>
    <xdr:to>
      <xdr:col>31</xdr:col>
      <xdr:colOff>125367</xdr:colOff>
      <xdr:row>15</xdr:row>
      <xdr:rowOff>133350</xdr:rowOff>
    </xdr:to>
    <xdr:sp macro="" textlink="">
      <xdr:nvSpPr>
        <xdr:cNvPr id="65014" name="12">
          <a:extLst>
            <a:ext uri="{FF2B5EF4-FFF2-40B4-BE49-F238E27FC236}">
              <a16:creationId xmlns:a16="http://schemas.microsoft.com/office/drawing/2014/main" id="{441DED34-F216-E7B9-D2F9-C5D871D45E44}"/>
            </a:ext>
          </a:extLst>
        </xdr:cNvPr>
        <xdr:cNvSpPr/>
      </xdr:nvSpPr>
      <xdr:spPr>
        <a:xfrm>
          <a:off x="10214066" y="25412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15</xdr:row>
      <xdr:rowOff>76200</xdr:rowOff>
    </xdr:from>
    <xdr:to>
      <xdr:col>31</xdr:col>
      <xdr:colOff>124097</xdr:colOff>
      <xdr:row>15</xdr:row>
      <xdr:rowOff>76200</xdr:rowOff>
    </xdr:to>
    <xdr:cxnSp macro="">
      <xdr:nvCxnSpPr>
        <xdr:cNvPr id="65015" name="직선 화살표 연결선 65014">
          <a:extLst>
            <a:ext uri="{FF2B5EF4-FFF2-40B4-BE49-F238E27FC236}">
              <a16:creationId xmlns:a16="http://schemas.microsoft.com/office/drawing/2014/main" id="{7CA9545A-0DD8-58F3-1141-3F1122ADB31F}"/>
            </a:ext>
          </a:extLst>
        </xdr:cNvPr>
        <xdr:cNvCxnSpPr/>
      </xdr:nvCxnSpPr>
      <xdr:spPr>
        <a:xfrm>
          <a:off x="10214066" y="259842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14</xdr:row>
      <xdr:rowOff>19050</xdr:rowOff>
    </xdr:from>
    <xdr:to>
      <xdr:col>31</xdr:col>
      <xdr:colOff>125367</xdr:colOff>
      <xdr:row>14</xdr:row>
      <xdr:rowOff>133350</xdr:rowOff>
    </xdr:to>
    <xdr:sp macro="" textlink="">
      <xdr:nvSpPr>
        <xdr:cNvPr id="65016" name="11">
          <a:extLst>
            <a:ext uri="{FF2B5EF4-FFF2-40B4-BE49-F238E27FC236}">
              <a16:creationId xmlns:a16="http://schemas.microsoft.com/office/drawing/2014/main" id="{60457903-79AB-F920-B21B-7DDE438D79E6}"/>
            </a:ext>
          </a:extLst>
        </xdr:cNvPr>
        <xdr:cNvSpPr/>
      </xdr:nvSpPr>
      <xdr:spPr>
        <a:xfrm>
          <a:off x="10214066" y="2388870"/>
          <a:ext cx="840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14</xdr:row>
      <xdr:rowOff>76200</xdr:rowOff>
    </xdr:from>
    <xdr:to>
      <xdr:col>31</xdr:col>
      <xdr:colOff>124097</xdr:colOff>
      <xdr:row>14</xdr:row>
      <xdr:rowOff>76200</xdr:rowOff>
    </xdr:to>
    <xdr:cxnSp macro="">
      <xdr:nvCxnSpPr>
        <xdr:cNvPr id="65017" name="직선 화살표 연결선 65016">
          <a:extLst>
            <a:ext uri="{FF2B5EF4-FFF2-40B4-BE49-F238E27FC236}">
              <a16:creationId xmlns:a16="http://schemas.microsoft.com/office/drawing/2014/main" id="{8005F76B-90DE-159E-D996-756E720406E3}"/>
            </a:ext>
          </a:extLst>
        </xdr:cNvPr>
        <xdr:cNvCxnSpPr/>
      </xdr:nvCxnSpPr>
      <xdr:spPr>
        <a:xfrm>
          <a:off x="10214066" y="244602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13</xdr:row>
      <xdr:rowOff>19050</xdr:rowOff>
    </xdr:from>
    <xdr:to>
      <xdr:col>31</xdr:col>
      <xdr:colOff>125367</xdr:colOff>
      <xdr:row>13</xdr:row>
      <xdr:rowOff>133350</xdr:rowOff>
    </xdr:to>
    <xdr:sp macro="" textlink="">
      <xdr:nvSpPr>
        <xdr:cNvPr id="65018" name="10">
          <a:extLst>
            <a:ext uri="{FF2B5EF4-FFF2-40B4-BE49-F238E27FC236}">
              <a16:creationId xmlns:a16="http://schemas.microsoft.com/office/drawing/2014/main" id="{5C3CD705-CA7A-7AAD-78BF-1EB1FBAB57BB}"/>
            </a:ext>
          </a:extLst>
        </xdr:cNvPr>
        <xdr:cNvSpPr/>
      </xdr:nvSpPr>
      <xdr:spPr>
        <a:xfrm>
          <a:off x="10214066" y="2236470"/>
          <a:ext cx="8400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13</xdr:row>
      <xdr:rowOff>76200</xdr:rowOff>
    </xdr:from>
    <xdr:to>
      <xdr:col>31</xdr:col>
      <xdr:colOff>124097</xdr:colOff>
      <xdr:row>13</xdr:row>
      <xdr:rowOff>76200</xdr:rowOff>
    </xdr:to>
    <xdr:cxnSp macro="">
      <xdr:nvCxnSpPr>
        <xdr:cNvPr id="65019" name="직선 화살표 연결선 65018">
          <a:extLst>
            <a:ext uri="{FF2B5EF4-FFF2-40B4-BE49-F238E27FC236}">
              <a16:creationId xmlns:a16="http://schemas.microsoft.com/office/drawing/2014/main" id="{F9B2D998-6904-FF2C-2C44-0539DD7915EC}"/>
            </a:ext>
          </a:extLst>
        </xdr:cNvPr>
        <xdr:cNvCxnSpPr/>
      </xdr:nvCxnSpPr>
      <xdr:spPr>
        <a:xfrm>
          <a:off x="10214066" y="2293620"/>
          <a:ext cx="8273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11</xdr:row>
      <xdr:rowOff>19050</xdr:rowOff>
    </xdr:from>
    <xdr:to>
      <xdr:col>33</xdr:col>
      <xdr:colOff>42635</xdr:colOff>
      <xdr:row>11</xdr:row>
      <xdr:rowOff>133350</xdr:rowOff>
    </xdr:to>
    <xdr:sp macro="" textlink="">
      <xdr:nvSpPr>
        <xdr:cNvPr id="65032" name="8">
          <a:extLst>
            <a:ext uri="{FF2B5EF4-FFF2-40B4-BE49-F238E27FC236}">
              <a16:creationId xmlns:a16="http://schemas.microsoft.com/office/drawing/2014/main" id="{4B39D94C-ACE6-9AF7-CFFC-919FA573CBA2}"/>
            </a:ext>
          </a:extLst>
        </xdr:cNvPr>
        <xdr:cNvSpPr/>
      </xdr:nvSpPr>
      <xdr:spPr>
        <a:xfrm>
          <a:off x="10214066" y="1931670"/>
          <a:ext cx="2908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11</xdr:row>
      <xdr:rowOff>76200</xdr:rowOff>
    </xdr:from>
    <xdr:to>
      <xdr:col>33</xdr:col>
      <xdr:colOff>41366</xdr:colOff>
      <xdr:row>11</xdr:row>
      <xdr:rowOff>76200</xdr:rowOff>
    </xdr:to>
    <xdr:cxnSp macro="">
      <xdr:nvCxnSpPr>
        <xdr:cNvPr id="65033" name="직선 화살표 연결선 65032">
          <a:extLst>
            <a:ext uri="{FF2B5EF4-FFF2-40B4-BE49-F238E27FC236}">
              <a16:creationId xmlns:a16="http://schemas.microsoft.com/office/drawing/2014/main" id="{2AA46FFF-E0C3-4C56-9E23-0373C51AEF5A}"/>
            </a:ext>
          </a:extLst>
        </xdr:cNvPr>
        <xdr:cNvCxnSpPr/>
      </xdr:nvCxnSpPr>
      <xdr:spPr>
        <a:xfrm>
          <a:off x="10214066" y="1988820"/>
          <a:ext cx="289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8</xdr:row>
      <xdr:rowOff>19050</xdr:rowOff>
    </xdr:from>
    <xdr:to>
      <xdr:col>31</xdr:col>
      <xdr:colOff>63319</xdr:colOff>
      <xdr:row>8</xdr:row>
      <xdr:rowOff>133350</xdr:rowOff>
    </xdr:to>
    <xdr:sp macro="" textlink="">
      <xdr:nvSpPr>
        <xdr:cNvPr id="65034" name="5">
          <a:extLst>
            <a:ext uri="{FF2B5EF4-FFF2-40B4-BE49-F238E27FC236}">
              <a16:creationId xmlns:a16="http://schemas.microsoft.com/office/drawing/2014/main" id="{BF9F5CA5-4A8D-AE9B-9F63-399582797364}"/>
            </a:ext>
          </a:extLst>
        </xdr:cNvPr>
        <xdr:cNvSpPr/>
      </xdr:nvSpPr>
      <xdr:spPr>
        <a:xfrm>
          <a:off x="10214066" y="14439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8</xdr:row>
      <xdr:rowOff>76200</xdr:rowOff>
    </xdr:from>
    <xdr:to>
      <xdr:col>31</xdr:col>
      <xdr:colOff>62049</xdr:colOff>
      <xdr:row>8</xdr:row>
      <xdr:rowOff>76200</xdr:rowOff>
    </xdr:to>
    <xdr:cxnSp macro="">
      <xdr:nvCxnSpPr>
        <xdr:cNvPr id="65035" name="직선 화살표 연결선 65034">
          <a:extLst>
            <a:ext uri="{FF2B5EF4-FFF2-40B4-BE49-F238E27FC236}">
              <a16:creationId xmlns:a16="http://schemas.microsoft.com/office/drawing/2014/main" id="{794D1FA6-74BC-42FF-E169-A18A26469A3D}"/>
            </a:ext>
          </a:extLst>
        </xdr:cNvPr>
        <xdr:cNvCxnSpPr/>
      </xdr:nvCxnSpPr>
      <xdr:spPr>
        <a:xfrm>
          <a:off x="10214066" y="15011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7</xdr:row>
      <xdr:rowOff>19050</xdr:rowOff>
    </xdr:from>
    <xdr:to>
      <xdr:col>31</xdr:col>
      <xdr:colOff>63319</xdr:colOff>
      <xdr:row>7</xdr:row>
      <xdr:rowOff>133350</xdr:rowOff>
    </xdr:to>
    <xdr:sp macro="" textlink="">
      <xdr:nvSpPr>
        <xdr:cNvPr id="65036" name="4">
          <a:extLst>
            <a:ext uri="{FF2B5EF4-FFF2-40B4-BE49-F238E27FC236}">
              <a16:creationId xmlns:a16="http://schemas.microsoft.com/office/drawing/2014/main" id="{A4FFBF14-6D9C-B696-6366-E43BDB99D0B0}"/>
            </a:ext>
          </a:extLst>
        </xdr:cNvPr>
        <xdr:cNvSpPr/>
      </xdr:nvSpPr>
      <xdr:spPr>
        <a:xfrm>
          <a:off x="10214066" y="12915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7</xdr:row>
      <xdr:rowOff>76200</xdr:rowOff>
    </xdr:from>
    <xdr:to>
      <xdr:col>31</xdr:col>
      <xdr:colOff>62049</xdr:colOff>
      <xdr:row>7</xdr:row>
      <xdr:rowOff>76200</xdr:rowOff>
    </xdr:to>
    <xdr:cxnSp macro="">
      <xdr:nvCxnSpPr>
        <xdr:cNvPr id="65037" name="직선 화살표 연결선 65036">
          <a:extLst>
            <a:ext uri="{FF2B5EF4-FFF2-40B4-BE49-F238E27FC236}">
              <a16:creationId xmlns:a16="http://schemas.microsoft.com/office/drawing/2014/main" id="{0334969E-422D-C9FC-4367-5A2FC659F7D4}"/>
            </a:ext>
          </a:extLst>
        </xdr:cNvPr>
        <xdr:cNvCxnSpPr/>
      </xdr:nvCxnSpPr>
      <xdr:spPr>
        <a:xfrm>
          <a:off x="10214066" y="13487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6</xdr:row>
      <xdr:rowOff>19050</xdr:rowOff>
    </xdr:from>
    <xdr:to>
      <xdr:col>31</xdr:col>
      <xdr:colOff>63319</xdr:colOff>
      <xdr:row>6</xdr:row>
      <xdr:rowOff>133350</xdr:rowOff>
    </xdr:to>
    <xdr:sp macro="" textlink="">
      <xdr:nvSpPr>
        <xdr:cNvPr id="65038" name="3">
          <a:extLst>
            <a:ext uri="{FF2B5EF4-FFF2-40B4-BE49-F238E27FC236}">
              <a16:creationId xmlns:a16="http://schemas.microsoft.com/office/drawing/2014/main" id="{C8C49FCD-DDF7-3577-0B94-4D04BB55896E}"/>
            </a:ext>
          </a:extLst>
        </xdr:cNvPr>
        <xdr:cNvSpPr/>
      </xdr:nvSpPr>
      <xdr:spPr>
        <a:xfrm>
          <a:off x="10214066" y="1139190"/>
          <a:ext cx="219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6</xdr:row>
      <xdr:rowOff>76200</xdr:rowOff>
    </xdr:from>
    <xdr:to>
      <xdr:col>31</xdr:col>
      <xdr:colOff>62049</xdr:colOff>
      <xdr:row>6</xdr:row>
      <xdr:rowOff>76200</xdr:rowOff>
    </xdr:to>
    <xdr:cxnSp macro="">
      <xdr:nvCxnSpPr>
        <xdr:cNvPr id="65039" name="직선 화살표 연결선 65038">
          <a:extLst>
            <a:ext uri="{FF2B5EF4-FFF2-40B4-BE49-F238E27FC236}">
              <a16:creationId xmlns:a16="http://schemas.microsoft.com/office/drawing/2014/main" id="{69BBB37E-A08F-FC9A-3210-61BA17C91A87}"/>
            </a:ext>
          </a:extLst>
        </xdr:cNvPr>
        <xdr:cNvCxnSpPr/>
      </xdr:nvCxnSpPr>
      <xdr:spPr>
        <a:xfrm>
          <a:off x="10214066" y="11963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5</xdr:row>
      <xdr:rowOff>19050</xdr:rowOff>
    </xdr:from>
    <xdr:to>
      <xdr:col>31</xdr:col>
      <xdr:colOff>63319</xdr:colOff>
      <xdr:row>5</xdr:row>
      <xdr:rowOff>133350</xdr:rowOff>
    </xdr:to>
    <xdr:sp macro="" textlink="">
      <xdr:nvSpPr>
        <xdr:cNvPr id="65040" name="2">
          <a:extLst>
            <a:ext uri="{FF2B5EF4-FFF2-40B4-BE49-F238E27FC236}">
              <a16:creationId xmlns:a16="http://schemas.microsoft.com/office/drawing/2014/main" id="{3712D9E0-D5FA-2703-6A01-3485406FBBC8}"/>
            </a:ext>
          </a:extLst>
        </xdr:cNvPr>
        <xdr:cNvSpPr/>
      </xdr:nvSpPr>
      <xdr:spPr>
        <a:xfrm>
          <a:off x="10214066" y="986790"/>
          <a:ext cx="2195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5</xdr:row>
      <xdr:rowOff>76200</xdr:rowOff>
    </xdr:from>
    <xdr:to>
      <xdr:col>31</xdr:col>
      <xdr:colOff>62049</xdr:colOff>
      <xdr:row>5</xdr:row>
      <xdr:rowOff>76200</xdr:rowOff>
    </xdr:to>
    <xdr:cxnSp macro="">
      <xdr:nvCxnSpPr>
        <xdr:cNvPr id="65041" name="직선 화살표 연결선 65040">
          <a:extLst>
            <a:ext uri="{FF2B5EF4-FFF2-40B4-BE49-F238E27FC236}">
              <a16:creationId xmlns:a16="http://schemas.microsoft.com/office/drawing/2014/main" id="{63990036-244B-2195-AC55-F749A4811244}"/>
            </a:ext>
          </a:extLst>
        </xdr:cNvPr>
        <xdr:cNvCxnSpPr/>
      </xdr:nvCxnSpPr>
      <xdr:spPr>
        <a:xfrm>
          <a:off x="10214066" y="1043940"/>
          <a:ext cx="2068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41366</xdr:colOff>
      <xdr:row>4</xdr:row>
      <xdr:rowOff>19050</xdr:rowOff>
    </xdr:from>
    <xdr:to>
      <xdr:col>33</xdr:col>
      <xdr:colOff>42635</xdr:colOff>
      <xdr:row>4</xdr:row>
      <xdr:rowOff>133350</xdr:rowOff>
    </xdr:to>
    <xdr:sp macro="" textlink="">
      <xdr:nvSpPr>
        <xdr:cNvPr id="65042" name="1">
          <a:extLst>
            <a:ext uri="{FF2B5EF4-FFF2-40B4-BE49-F238E27FC236}">
              <a16:creationId xmlns:a16="http://schemas.microsoft.com/office/drawing/2014/main" id="{58689B6A-73D1-2A45-3F08-050E3E83D52D}"/>
            </a:ext>
          </a:extLst>
        </xdr:cNvPr>
        <xdr:cNvSpPr/>
      </xdr:nvSpPr>
      <xdr:spPr>
        <a:xfrm>
          <a:off x="10214066" y="834390"/>
          <a:ext cx="2908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41366</xdr:colOff>
      <xdr:row>4</xdr:row>
      <xdr:rowOff>76200</xdr:rowOff>
    </xdr:from>
    <xdr:to>
      <xdr:col>33</xdr:col>
      <xdr:colOff>41366</xdr:colOff>
      <xdr:row>4</xdr:row>
      <xdr:rowOff>76200</xdr:rowOff>
    </xdr:to>
    <xdr:cxnSp macro="">
      <xdr:nvCxnSpPr>
        <xdr:cNvPr id="65043" name="직선 화살표 연결선 65042">
          <a:extLst>
            <a:ext uri="{FF2B5EF4-FFF2-40B4-BE49-F238E27FC236}">
              <a16:creationId xmlns:a16="http://schemas.microsoft.com/office/drawing/2014/main" id="{94C9E627-762E-8343-6782-DA04341698C6}"/>
            </a:ext>
          </a:extLst>
        </xdr:cNvPr>
        <xdr:cNvCxnSpPr/>
      </xdr:nvCxnSpPr>
      <xdr:spPr>
        <a:xfrm>
          <a:off x="10214066" y="891540"/>
          <a:ext cx="289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project-scheduler/" TargetMode="External"/><Relationship Id="rId18" Type="http://schemas.openxmlformats.org/officeDocument/2006/relationships/printerSettings" Target="../printerSettings/printerSettings1.bin"/><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17" Type="http://schemas.openxmlformats.org/officeDocument/2006/relationships/hyperlink" Target="https://xlworks.net/xlgantt-howto-16-task-dependencies/" TargetMode="External"/><Relationship Id="rId2" Type="http://schemas.openxmlformats.org/officeDocument/2006/relationships/hyperlink" Target="https://xlworks.net/xlgantt-howto-02-task/" TargetMode="External"/><Relationship Id="rId16" Type="http://schemas.openxmlformats.org/officeDocument/2006/relationships/hyperlink" Target="https://xlworks.net/xlgantt-howto-14-workloads/" TargetMode="External"/><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howto-15-color-theme/"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xlworks.net/xlgantt-howto-16-task-dependencies/" TargetMode="External"/><Relationship Id="rId1" Type="http://schemas.openxmlformats.org/officeDocument/2006/relationships/hyperlink" Target="https://xlworks.net/xlgantt-howto-16-task-dependencie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xlworks.io/xlgantt-project-scheduler/"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5"/>
  <sheetViews>
    <sheetView showGridLines="0" zoomScale="90" zoomScaleNormal="90" workbookViewId="0">
      <selection sqref="A1:G2"/>
    </sheetView>
  </sheetViews>
  <sheetFormatPr defaultColWidth="9" defaultRowHeight="15.6"/>
  <cols>
    <col min="1" max="1" width="5.8984375" style="79" customWidth="1"/>
    <col min="2" max="2" width="29.8984375" style="100" customWidth="1"/>
    <col min="3" max="3" width="1.19921875" style="79" customWidth="1"/>
    <col min="4" max="11" width="9" style="79"/>
    <col min="12" max="12" width="19.5" style="79" customWidth="1"/>
    <col min="13" max="21" width="9" style="79"/>
    <col min="22" max="22" width="0" style="79" hidden="1" customWidth="1"/>
    <col min="23" max="26" width="9" style="79"/>
    <col min="27" max="28" width="0" style="79" hidden="1" customWidth="1"/>
    <col min="29" max="16384" width="9" style="79"/>
  </cols>
  <sheetData>
    <row r="1" spans="1:12" ht="20.25" customHeight="1">
      <c r="A1" s="220" t="s">
        <v>1390</v>
      </c>
      <c r="B1" s="221"/>
      <c r="C1" s="221"/>
      <c r="D1" s="221"/>
      <c r="E1" s="221"/>
      <c r="F1" s="221"/>
      <c r="G1" s="221"/>
      <c r="H1" s="113"/>
      <c r="I1" s="113"/>
      <c r="J1" s="224" t="s">
        <v>745</v>
      </c>
      <c r="K1" s="225"/>
      <c r="L1" s="225"/>
    </row>
    <row r="2" spans="1:12" s="32" customFormat="1" ht="33.75" customHeight="1">
      <c r="A2" s="222"/>
      <c r="B2" s="223"/>
      <c r="C2" s="223"/>
      <c r="D2" s="223"/>
      <c r="E2" s="223"/>
      <c r="F2" s="223"/>
      <c r="G2" s="223"/>
      <c r="H2" s="218" t="s">
        <v>1391</v>
      </c>
      <c r="I2" s="219"/>
      <c r="J2" s="219"/>
      <c r="K2" s="219"/>
      <c r="L2" s="219"/>
    </row>
    <row r="4" spans="1:12" ht="17.25" customHeight="1">
      <c r="B4" s="226" t="s">
        <v>1392</v>
      </c>
      <c r="C4" s="227"/>
      <c r="D4" s="227"/>
      <c r="E4" s="227"/>
      <c r="F4" s="227"/>
      <c r="G4" s="227"/>
      <c r="H4" s="227"/>
      <c r="I4" s="227"/>
      <c r="J4" s="227"/>
      <c r="K4" s="227"/>
      <c r="L4" s="227"/>
    </row>
    <row r="5" spans="1:12" ht="27.75" customHeight="1">
      <c r="B5" s="227"/>
      <c r="C5" s="227"/>
      <c r="D5" s="227"/>
      <c r="E5" s="227"/>
      <c r="F5" s="227"/>
      <c r="G5" s="227"/>
      <c r="H5" s="227"/>
      <c r="I5" s="227"/>
      <c r="J5" s="227"/>
      <c r="K5" s="227"/>
      <c r="L5" s="227"/>
    </row>
    <row r="6" spans="1:12" s="32" customFormat="1" ht="13.8">
      <c r="B6" s="80"/>
    </row>
    <row r="7" spans="1:12" s="32" customFormat="1" ht="18">
      <c r="B7" s="81" t="s">
        <v>1393</v>
      </c>
      <c r="D7" s="82"/>
    </row>
    <row r="8" spans="1:12" s="32" customFormat="1" ht="7.5" customHeight="1">
      <c r="B8" s="80"/>
    </row>
    <row r="9" spans="1:12" s="32" customFormat="1" ht="29.25" customHeight="1" thickBot="1">
      <c r="A9" s="83"/>
      <c r="B9" s="84" t="s">
        <v>449</v>
      </c>
      <c r="C9" s="83"/>
      <c r="D9" s="217" t="s">
        <v>1394</v>
      </c>
      <c r="E9" s="217"/>
      <c r="F9" s="217"/>
      <c r="G9" s="217"/>
      <c r="H9" s="217"/>
      <c r="I9" s="217"/>
      <c r="J9" s="217"/>
      <c r="K9" s="217"/>
      <c r="L9" s="217"/>
    </row>
    <row r="10" spans="1:12" s="32" customFormat="1" ht="29.25" customHeight="1" thickTop="1" thickBot="1">
      <c r="A10" s="83"/>
      <c r="B10" s="85" t="s">
        <v>450</v>
      </c>
      <c r="C10" s="83"/>
      <c r="D10" s="217" t="s">
        <v>1395</v>
      </c>
      <c r="E10" s="217"/>
      <c r="F10" s="217"/>
      <c r="G10" s="217"/>
      <c r="H10" s="217"/>
      <c r="I10" s="217"/>
      <c r="J10" s="217"/>
      <c r="K10" s="217"/>
      <c r="L10" s="217"/>
    </row>
    <row r="11" spans="1:12" s="32" customFormat="1" ht="29.25" customHeight="1" thickTop="1" thickBot="1">
      <c r="A11" s="83"/>
      <c r="B11" s="86" t="s">
        <v>451</v>
      </c>
      <c r="C11" s="83"/>
      <c r="D11" s="217" t="s">
        <v>1396</v>
      </c>
      <c r="E11" s="217"/>
      <c r="F11" s="217"/>
      <c r="G11" s="217"/>
      <c r="H11" s="217"/>
      <c r="I11" s="217"/>
      <c r="J11" s="217"/>
      <c r="K11" s="217"/>
      <c r="L11" s="217"/>
    </row>
    <row r="12" spans="1:12" s="32" customFormat="1" ht="29.25" customHeight="1" thickTop="1" thickBot="1">
      <c r="A12" s="83"/>
      <c r="B12" s="87" t="s">
        <v>452</v>
      </c>
      <c r="C12" s="83"/>
      <c r="D12" s="217" t="s">
        <v>1397</v>
      </c>
      <c r="E12" s="217"/>
      <c r="F12" s="217"/>
      <c r="G12" s="217"/>
      <c r="H12" s="217"/>
      <c r="I12" s="217"/>
      <c r="J12" s="217"/>
      <c r="K12" s="217"/>
      <c r="L12" s="217"/>
    </row>
    <row r="13" spans="1:12" s="32" customFormat="1" ht="29.25" customHeight="1" thickTop="1" thickBot="1">
      <c r="A13" s="83"/>
      <c r="B13" s="88" t="s">
        <v>541</v>
      </c>
      <c r="C13" s="83"/>
      <c r="D13" s="217" t="s">
        <v>1398</v>
      </c>
      <c r="E13" s="217"/>
      <c r="F13" s="217"/>
      <c r="G13" s="217"/>
      <c r="H13" s="217"/>
      <c r="I13" s="217"/>
      <c r="J13" s="217"/>
      <c r="K13" s="217"/>
      <c r="L13" s="217"/>
    </row>
    <row r="14" spans="1:12" s="32" customFormat="1" ht="29.25" customHeight="1" thickTop="1" thickBot="1">
      <c r="A14" s="83"/>
      <c r="B14" s="89" t="s">
        <v>453</v>
      </c>
      <c r="C14" s="83"/>
      <c r="D14" s="217" t="s">
        <v>1399</v>
      </c>
      <c r="E14" s="217"/>
      <c r="F14" s="217"/>
      <c r="G14" s="217"/>
      <c r="H14" s="217"/>
      <c r="I14" s="217"/>
      <c r="J14" s="217"/>
      <c r="K14" s="217"/>
      <c r="L14" s="217"/>
    </row>
    <row r="15" spans="1:12" ht="16.2" thickTop="1">
      <c r="A15" s="90"/>
      <c r="B15" s="91"/>
      <c r="C15" s="90"/>
      <c r="D15" s="92"/>
      <c r="E15" s="92"/>
      <c r="F15" s="92"/>
      <c r="G15" s="92"/>
      <c r="H15" s="92"/>
      <c r="I15" s="92"/>
      <c r="J15" s="92"/>
      <c r="K15" s="92"/>
      <c r="L15" s="92"/>
    </row>
    <row r="16" spans="1:12" s="32" customFormat="1" ht="18">
      <c r="B16" s="81" t="s">
        <v>1400</v>
      </c>
      <c r="D16" s="82"/>
    </row>
    <row r="17" spans="2:12" s="32" customFormat="1" ht="5.25" customHeight="1">
      <c r="B17" s="93"/>
      <c r="D17" s="82"/>
    </row>
    <row r="18" spans="2:12" s="32" customFormat="1" ht="26.25" customHeight="1" thickBot="1">
      <c r="B18" s="94" t="s">
        <v>1401</v>
      </c>
      <c r="D18" s="216" t="s">
        <v>1413</v>
      </c>
      <c r="E18" s="216"/>
      <c r="F18" s="216"/>
      <c r="G18" s="216"/>
      <c r="H18" s="216"/>
      <c r="I18" s="216"/>
      <c r="J18" s="216"/>
      <c r="K18" s="216"/>
      <c r="L18" s="101" t="s">
        <v>1425</v>
      </c>
    </row>
    <row r="19" spans="2:12" s="32" customFormat="1" ht="53.25" customHeight="1" thickTop="1" thickBot="1">
      <c r="B19" s="94" t="s">
        <v>563</v>
      </c>
      <c r="D19" s="216" t="s">
        <v>1414</v>
      </c>
      <c r="E19" s="216"/>
      <c r="F19" s="216"/>
      <c r="G19" s="216"/>
      <c r="H19" s="216"/>
      <c r="I19" s="216"/>
      <c r="J19" s="216"/>
      <c r="K19" s="216"/>
      <c r="L19" s="101" t="s">
        <v>1425</v>
      </c>
    </row>
    <row r="20" spans="2:12" s="32" customFormat="1" ht="26.25" customHeight="1" thickTop="1" thickBot="1">
      <c r="B20" s="94" t="s">
        <v>1402</v>
      </c>
      <c r="D20" s="216" t="s">
        <v>1415</v>
      </c>
      <c r="E20" s="216"/>
      <c r="F20" s="216"/>
      <c r="G20" s="216"/>
      <c r="H20" s="216"/>
      <c r="I20" s="216"/>
      <c r="J20" s="216"/>
      <c r="K20" s="216"/>
      <c r="L20" s="101" t="s">
        <v>1425</v>
      </c>
    </row>
    <row r="21" spans="2:12" s="32" customFormat="1" ht="26.25" customHeight="1" thickTop="1" thickBot="1">
      <c r="B21" s="94" t="s">
        <v>1403</v>
      </c>
      <c r="D21" s="216" t="s">
        <v>1416</v>
      </c>
      <c r="E21" s="216"/>
      <c r="F21" s="216"/>
      <c r="G21" s="216"/>
      <c r="H21" s="216"/>
      <c r="I21" s="216"/>
      <c r="J21" s="216"/>
      <c r="K21" s="216"/>
      <c r="L21" s="101" t="s">
        <v>1425</v>
      </c>
    </row>
    <row r="22" spans="2:12" s="32" customFormat="1" ht="33.75" customHeight="1" thickTop="1" thickBot="1">
      <c r="B22" s="94" t="s">
        <v>1404</v>
      </c>
      <c r="D22" s="216" t="s">
        <v>1417</v>
      </c>
      <c r="E22" s="216"/>
      <c r="F22" s="216"/>
      <c r="G22" s="216"/>
      <c r="H22" s="216"/>
      <c r="I22" s="216"/>
      <c r="J22" s="216"/>
      <c r="K22" s="216"/>
      <c r="L22" s="101" t="s">
        <v>1425</v>
      </c>
    </row>
    <row r="23" spans="2:12" s="32" customFormat="1" ht="52.5" customHeight="1" thickTop="1" thickBot="1">
      <c r="B23" s="94" t="s">
        <v>1405</v>
      </c>
      <c r="D23" s="216" t="s">
        <v>1418</v>
      </c>
      <c r="E23" s="216"/>
      <c r="F23" s="216"/>
      <c r="G23" s="216"/>
      <c r="H23" s="216"/>
      <c r="I23" s="216"/>
      <c r="J23" s="216"/>
      <c r="K23" s="216"/>
      <c r="L23" s="101" t="s">
        <v>1425</v>
      </c>
    </row>
    <row r="24" spans="2:12" s="32" customFormat="1" ht="47.25" customHeight="1" thickTop="1" thickBot="1">
      <c r="B24" s="94" t="s">
        <v>1406</v>
      </c>
      <c r="D24" s="216" t="s">
        <v>1419</v>
      </c>
      <c r="E24" s="216"/>
      <c r="F24" s="216"/>
      <c r="G24" s="216"/>
      <c r="H24" s="216"/>
      <c r="I24" s="216"/>
      <c r="J24" s="216"/>
      <c r="K24" s="216"/>
      <c r="L24" s="101" t="s">
        <v>1425</v>
      </c>
    </row>
    <row r="25" spans="2:12" s="32" customFormat="1" ht="33.75" customHeight="1" thickTop="1" thickBot="1">
      <c r="B25" s="94" t="s">
        <v>1407</v>
      </c>
      <c r="D25" s="216" t="s">
        <v>1420</v>
      </c>
      <c r="E25" s="216"/>
      <c r="F25" s="216"/>
      <c r="G25" s="216"/>
      <c r="H25" s="216"/>
      <c r="I25" s="216"/>
      <c r="J25" s="216"/>
      <c r="K25" s="216"/>
      <c r="L25" s="101" t="s">
        <v>1425</v>
      </c>
    </row>
    <row r="26" spans="2:12" s="32" customFormat="1" ht="53.25" customHeight="1" thickTop="1" thickBot="1">
      <c r="B26" s="94" t="s">
        <v>1408</v>
      </c>
      <c r="D26" s="216" t="s">
        <v>1421</v>
      </c>
      <c r="E26" s="216"/>
      <c r="F26" s="216"/>
      <c r="G26" s="216"/>
      <c r="H26" s="216"/>
      <c r="I26" s="216"/>
      <c r="J26" s="216"/>
      <c r="K26" s="216"/>
      <c r="L26" s="101" t="s">
        <v>1425</v>
      </c>
    </row>
    <row r="27" spans="2:12" s="32" customFormat="1" ht="35.25" customHeight="1" thickTop="1" thickBot="1">
      <c r="B27" s="94" t="s">
        <v>1409</v>
      </c>
      <c r="D27" s="216" t="s">
        <v>1422</v>
      </c>
      <c r="E27" s="216"/>
      <c r="F27" s="216"/>
      <c r="G27" s="216"/>
      <c r="H27" s="216"/>
      <c r="I27" s="216"/>
      <c r="J27" s="216"/>
      <c r="K27" s="216"/>
      <c r="L27" s="101" t="s">
        <v>1425</v>
      </c>
    </row>
    <row r="28" spans="2:12" s="32" customFormat="1" ht="43.5" customHeight="1" thickTop="1" thickBot="1">
      <c r="B28" s="94" t="s">
        <v>452</v>
      </c>
      <c r="D28" s="216" t="s">
        <v>1423</v>
      </c>
      <c r="E28" s="216"/>
      <c r="F28" s="216"/>
      <c r="G28" s="216"/>
      <c r="H28" s="216"/>
      <c r="I28" s="216"/>
      <c r="J28" s="216"/>
      <c r="K28" s="216"/>
      <c r="L28" s="101" t="s">
        <v>1425</v>
      </c>
    </row>
    <row r="29" spans="2:12" s="32" customFormat="1" ht="49.5" customHeight="1" thickTop="1" thickBot="1">
      <c r="B29" s="94" t="s">
        <v>1410</v>
      </c>
      <c r="D29" s="216" t="s">
        <v>1424</v>
      </c>
      <c r="E29" s="216"/>
      <c r="F29" s="216"/>
      <c r="G29" s="216"/>
      <c r="H29" s="216"/>
      <c r="I29" s="216"/>
      <c r="J29" s="216"/>
      <c r="K29" s="216"/>
      <c r="L29" s="101" t="s">
        <v>1425</v>
      </c>
    </row>
    <row r="30" spans="2:12" s="32" customFormat="1" ht="24.75" customHeight="1" thickTop="1" thickBot="1">
      <c r="B30" s="189" t="s">
        <v>1411</v>
      </c>
      <c r="D30" s="216" t="s">
        <v>1364</v>
      </c>
      <c r="E30" s="216"/>
      <c r="F30" s="216"/>
      <c r="G30" s="216"/>
      <c r="H30" s="216"/>
      <c r="I30" s="216"/>
      <c r="J30" s="216"/>
      <c r="K30" s="216"/>
      <c r="L30" s="101" t="s">
        <v>1425</v>
      </c>
    </row>
    <row r="31" spans="2:12" s="32" customFormat="1" ht="24.75" customHeight="1" thickTop="1" thickBot="1">
      <c r="B31" s="94" t="s">
        <v>1412</v>
      </c>
      <c r="D31" s="216" t="s">
        <v>1365</v>
      </c>
      <c r="E31" s="216"/>
      <c r="F31" s="216"/>
      <c r="G31" s="216"/>
      <c r="H31" s="216"/>
      <c r="I31" s="216"/>
      <c r="J31" s="216"/>
      <c r="K31" s="216"/>
      <c r="L31" s="101" t="s">
        <v>1425</v>
      </c>
    </row>
    <row r="32" spans="2:12" s="32" customFormat="1" ht="24.75" customHeight="1" thickTop="1" thickBot="1">
      <c r="B32" s="94" t="s">
        <v>1381</v>
      </c>
      <c r="D32" s="216" t="s">
        <v>1385</v>
      </c>
      <c r="E32" s="216"/>
      <c r="F32" s="216"/>
      <c r="G32" s="216"/>
      <c r="H32" s="216"/>
      <c r="I32" s="216"/>
      <c r="J32" s="216"/>
      <c r="K32" s="216"/>
      <c r="L32" s="101" t="s">
        <v>1425</v>
      </c>
    </row>
    <row r="33" spans="2:12" s="32" customFormat="1" ht="15" thickTop="1">
      <c r="B33" s="95"/>
      <c r="D33" s="82"/>
      <c r="L33" s="83"/>
    </row>
    <row r="34" spans="2:12" s="32" customFormat="1" ht="18.75" customHeight="1">
      <c r="B34" s="96" t="s">
        <v>1426</v>
      </c>
      <c r="C34" s="97"/>
      <c r="D34" s="98"/>
      <c r="E34" s="97"/>
      <c r="F34" s="97"/>
      <c r="G34" s="97"/>
      <c r="H34" s="97"/>
      <c r="I34" s="97"/>
      <c r="J34" s="97"/>
      <c r="K34" s="97"/>
      <c r="L34" s="99"/>
    </row>
    <row r="35" spans="2:12" s="32" customFormat="1" ht="59.25" customHeight="1">
      <c r="B35" s="228" t="s">
        <v>1427</v>
      </c>
      <c r="C35" s="228"/>
      <c r="D35" s="228"/>
      <c r="E35" s="228"/>
      <c r="F35" s="228"/>
      <c r="G35" s="228"/>
      <c r="H35" s="228"/>
      <c r="I35" s="228"/>
      <c r="J35" s="228"/>
      <c r="K35" s="228"/>
      <c r="L35" s="228"/>
    </row>
  </sheetData>
  <mergeCells count="26">
    <mergeCell ref="D31:K31"/>
    <mergeCell ref="D30:K30"/>
    <mergeCell ref="D28:K28"/>
    <mergeCell ref="D29:K29"/>
    <mergeCell ref="B35:L35"/>
    <mergeCell ref="D32:K32"/>
    <mergeCell ref="H2:L2"/>
    <mergeCell ref="D22:K22"/>
    <mergeCell ref="A1:G2"/>
    <mergeCell ref="D25:K25"/>
    <mergeCell ref="J1:L1"/>
    <mergeCell ref="D19:K19"/>
    <mergeCell ref="D20:K20"/>
    <mergeCell ref="D21:K21"/>
    <mergeCell ref="B4:L5"/>
    <mergeCell ref="D18:K18"/>
    <mergeCell ref="D9:L9"/>
    <mergeCell ref="D10:L10"/>
    <mergeCell ref="D26:K26"/>
    <mergeCell ref="D27:K27"/>
    <mergeCell ref="D11:L11"/>
    <mergeCell ref="D12:L12"/>
    <mergeCell ref="D14:L14"/>
    <mergeCell ref="D13:L13"/>
    <mergeCell ref="D23:K23"/>
    <mergeCell ref="D24:K24"/>
  </mergeCells>
  <phoneticPr fontId="1" type="noConversion"/>
  <hyperlinks>
    <hyperlink ref="B9" location="Schedule!A1" display="Schedule" xr:uid="{00000000-0004-0000-0200-000000000000}"/>
    <hyperlink ref="B10" location="Progress!A1" display="Progress" xr:uid="{00000000-0004-0000-0200-000001000000}"/>
    <hyperlink ref="B11" location="AnalysisReport!A1" display="AnalysisReport" xr:uid="{00000000-0004-0000-0200-000004000000}"/>
    <hyperlink ref="B13" location="Workload!A1" display="Workload" xr:uid="{00000000-0004-0000-0200-000007000000}"/>
    <hyperlink ref="L18" r:id="rId1" display="https://xlworks.net/xlgantt-easy-tip/" xr:uid="{00000000-0004-0000-0200-000009000000}"/>
    <hyperlink ref="L19" r:id="rId2" display="https://xlworks.net/xlgantt-howto-02-task/" xr:uid="{00000000-0004-0000-0200-00000A000000}"/>
    <hyperlink ref="L20" r:id="rId3" display="https://xlworks.net/xlgantt-howto-03-gantt-chart/" xr:uid="{00000000-0004-0000-0200-00000B000000}"/>
    <hyperlink ref="L22" r:id="rId4" display="https://xlworks.net/xlgantt-howto-05-analysis-report/" xr:uid="{00000000-0004-0000-0200-00000D000000}"/>
    <hyperlink ref="L23" r:id="rId5" display="https://xlworks.net/xlgantt-howto-06-schedule-change-management/" xr:uid="{00000000-0004-0000-0200-00000E000000}"/>
    <hyperlink ref="L24" r:id="rId6" display="https://xlworks.net/xlgantt-howto-07-deliverables/" xr:uid="{00000000-0004-0000-0200-00000F000000}"/>
    <hyperlink ref="L25" r:id="rId7" display="https://xlworks.net/xlgantt-howto-08-add-tasks-to-outlook/" xr:uid="{423DE1E1-7322-43C8-884A-3985C3D42DBA}"/>
    <hyperlink ref="L26" r:id="rId8" display="https://xlworks.net/xlgantt-howto-09-multilingual-support/" xr:uid="{28BAD743-7265-4620-97AC-8124DB0B1D7C}"/>
    <hyperlink ref="L27" r:id="rId9" display="https://xlworks.net/xlgantt-howto-10-import-schedule/" xr:uid="{E14A75FF-521C-422B-9FE7-980188152BB9}"/>
    <hyperlink ref="L28" r:id="rId10" display="https://xlworks.net/xlgantt-howto-11-calendar/" xr:uid="{0FB2DC2E-E56F-4E03-A2CF-500B3745E3EA}"/>
    <hyperlink ref="L29" r:id="rId11" display="https://xlworks.net/xlgantt-howto-12-integration-with-excel/" xr:uid="{CCBF42A0-CEAA-4863-8CEE-5A42FF6A85B1}"/>
    <hyperlink ref="L21" r:id="rId12" display="https://xlworks.net/xlgantt-howto-04-project-progress/" xr:uid="{00000000-0004-0000-0200-00000C000000}"/>
    <hyperlink ref="B12" location="Calendar!A1" display="Calendar" xr:uid="{AE45EC12-A6C9-4053-B73A-1BB77F452809}"/>
    <hyperlink ref="J1" r:id="rId13" display="https://xlworks.net/xlgantt-project-scheduler/" xr:uid="{CA446EDF-A72E-4DC2-B6C7-B447B3FD558D}"/>
    <hyperlink ref="H2" r:id="rId14" display="https://xlworks.net/xlgantt-project-scheduler/" xr:uid="{D366BF89-D3DC-440D-9989-134F44E15797}"/>
    <hyperlink ref="L31" r:id="rId15" display="https://xlworks.net/xlgantt-howto-15-color-theme/" xr:uid="{EAA1CC1D-67F2-4880-A172-D29AB10F3981}"/>
    <hyperlink ref="L30" r:id="rId16" display="https://xlworks.net/xlgantt-howto-14-workloads/" xr:uid="{1AAD5260-68D8-426E-86C8-691852F4A04C}"/>
    <hyperlink ref="L32" r:id="rId17" display="https://xlworks.net/xlgantt-howto-16-task-dependencies/" xr:uid="{4F9B1BEE-4943-4928-896F-D2F6184F8541}"/>
  </hyperlinks>
  <pageMargins left="0.7" right="0.7" top="0.75" bottom="0.75" header="0.3" footer="0.3"/>
  <pageSetup paperSize="9" orientation="portrait" horizontalDpi="300" verticalDpi="300" r:id="rId1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C87E0-142A-4CD6-A0A5-308AC0E82C76}">
  <sheetPr codeName="Sheet8">
    <tabColor rgb="FF00A44A"/>
    <outlinePr summaryBelow="0"/>
    <pageSetUpPr fitToPage="1"/>
  </sheetPr>
  <dimension ref="A1:BJ29"/>
  <sheetViews>
    <sheetView tabSelected="1" zoomScaleNormal="100" zoomScaleSheetLayoutView="115" zoomScalePageLayoutView="55" workbookViewId="0">
      <pane ySplit="4" topLeftCell="A5" activePane="bottomLeft" state="frozen"/>
      <selection activeCell="D1" sqref="D1"/>
      <selection pane="bottomLeft" activeCell="D5" sqref="D5"/>
    </sheetView>
  </sheetViews>
  <sheetFormatPr defaultColWidth="10" defaultRowHeight="12" customHeight="1" outlineLevelRow="2"/>
  <cols>
    <col min="1" max="1" width="9.09765625" style="142" hidden="1" customWidth="1"/>
    <col min="2" max="2" width="9" style="142" hidden="1" customWidth="1"/>
    <col min="3" max="3" width="8.3984375" style="142" hidden="1" customWidth="1"/>
    <col min="4" max="4" width="9.69921875" style="143" customWidth="1"/>
    <col min="5" max="13" width="2.69921875" style="144" customWidth="1"/>
    <col min="14" max="14" width="4.5" style="144" bestFit="1" customWidth="1"/>
    <col min="15" max="15" width="9.69921875" style="144" bestFit="1" customWidth="1"/>
    <col min="16" max="16" width="10.3984375" style="145" bestFit="1" customWidth="1"/>
    <col min="17" max="17" width="10" style="145" bestFit="1" customWidth="1"/>
    <col min="18" max="18" width="7.59765625" style="144" hidden="1" customWidth="1"/>
    <col min="19" max="19" width="7.3984375" style="146" customWidth="1"/>
    <col min="20" max="20" width="5" style="146" customWidth="1"/>
    <col min="21" max="21" width="6" style="146" customWidth="1"/>
    <col min="22" max="22" width="5.8984375" style="146" customWidth="1"/>
    <col min="23" max="24" width="9.69921875" style="145" hidden="1" customWidth="1"/>
    <col min="25" max="25" width="7.5" style="147" hidden="1" customWidth="1"/>
    <col min="26" max="26" width="6" style="148" hidden="1" customWidth="1"/>
    <col min="27" max="27" width="6.09765625" style="146" hidden="1" customWidth="1"/>
    <col min="28" max="28" width="12.8984375" style="144" customWidth="1"/>
    <col min="29" max="29" width="10.19921875" style="149" customWidth="1"/>
    <col min="30" max="30" width="8.3984375" style="150" bestFit="1" customWidth="1"/>
    <col min="31" max="31" width="9.09765625" style="151" customWidth="1"/>
    <col min="32" max="52" width="1.8984375" style="119" customWidth="1"/>
    <col min="53" max="16384" width="10" style="119"/>
  </cols>
  <sheetData>
    <row r="1" spans="1:62" s="131" customFormat="1" ht="25.05" customHeight="1">
      <c r="A1" s="120"/>
      <c r="B1" s="121"/>
      <c r="C1" s="122"/>
      <c r="D1" s="153" t="str" cm="1">
        <f t="array" aca="1" ref="D1" ca="1">xlgantt.ProjectName()</f>
        <v>ABC 프로젝트</v>
      </c>
      <c r="E1" s="123"/>
      <c r="F1" s="123"/>
      <c r="G1" s="123"/>
      <c r="H1" s="123"/>
      <c r="I1" s="123"/>
      <c r="J1" s="123"/>
      <c r="K1" s="123"/>
      <c r="L1" s="123"/>
      <c r="M1" s="123"/>
      <c r="N1" s="123"/>
      <c r="O1" s="123"/>
      <c r="P1" s="123"/>
      <c r="Q1" s="124"/>
      <c r="R1" s="125"/>
      <c r="S1" s="126"/>
      <c r="T1" s="127"/>
      <c r="U1" s="128"/>
      <c r="V1" s="128"/>
      <c r="W1" s="129"/>
      <c r="X1" s="129"/>
      <c r="Y1" s="121"/>
      <c r="Z1" s="130"/>
      <c r="AA1" s="108"/>
      <c r="AB1" s="109"/>
      <c r="AC1" s="110"/>
      <c r="AD1" s="111"/>
      <c r="AE1" s="112" t="str" cm="1">
        <f t="array" aca="1" ref="AE1" ca="1">xlgantt.ProjectProgressString()</f>
        <v>2023-01-10~2023-01-23 [계획:95.08% 실적:100.00%]</v>
      </c>
      <c r="AF1" s="166" t="s">
        <v>1572</v>
      </c>
      <c r="AG1" s="152"/>
      <c r="AH1" s="152"/>
      <c r="AI1" s="152"/>
      <c r="AJ1" s="152"/>
      <c r="AK1" s="152"/>
      <c r="AL1" s="152"/>
      <c r="AM1" s="152"/>
      <c r="AN1" s="152"/>
      <c r="AO1" s="152"/>
      <c r="AP1" s="152"/>
      <c r="AQ1" s="152"/>
      <c r="AR1" s="152"/>
      <c r="AS1" s="152"/>
      <c r="AT1" s="152"/>
      <c r="AU1" s="152"/>
      <c r="AV1" s="152"/>
      <c r="AW1" s="152"/>
      <c r="AX1" s="152"/>
      <c r="AY1" s="152"/>
      <c r="AZ1" s="152"/>
      <c r="BA1" s="152"/>
      <c r="BB1" s="152"/>
      <c r="BC1" s="152"/>
      <c r="BD1" s="152"/>
      <c r="BE1" s="152"/>
      <c r="BF1" s="152"/>
      <c r="BG1" s="152"/>
      <c r="BH1" s="152"/>
      <c r="BI1" s="152"/>
      <c r="BJ1" s="152"/>
    </row>
    <row r="2" spans="1:62" s="131" customFormat="1" ht="15" customHeight="1">
      <c r="A2" s="132"/>
      <c r="B2" s="132"/>
      <c r="C2" s="133"/>
      <c r="D2" s="235"/>
      <c r="E2" s="235"/>
      <c r="F2" s="235"/>
      <c r="G2" s="114"/>
      <c r="H2" s="134"/>
      <c r="I2" s="114"/>
      <c r="J2" s="114"/>
      <c r="K2" s="114"/>
      <c r="L2" s="114"/>
      <c r="M2" s="114"/>
      <c r="N2" s="114"/>
      <c r="O2" s="114"/>
      <c r="P2" s="114"/>
      <c r="Q2" s="114"/>
      <c r="R2" s="114"/>
      <c r="S2" s="115"/>
      <c r="T2" s="115"/>
      <c r="U2" s="115"/>
      <c r="V2" s="115"/>
      <c r="W2" s="114"/>
      <c r="X2" s="114"/>
      <c r="Y2" s="114"/>
      <c r="Z2" s="114"/>
      <c r="AA2" s="114"/>
      <c r="AB2" s="114"/>
      <c r="AC2" s="116"/>
      <c r="AD2" s="117"/>
      <c r="AE2" s="114" t="str" cm="1">
        <f t="array" aca="1" ref="AE2" ca="1">xlgantt.CommentOnHeadArea()</f>
        <v>별(*)표시는 필수입력</v>
      </c>
      <c r="AF2" s="232" t="s">
        <v>746</v>
      </c>
      <c r="AG2" s="232"/>
      <c r="AH2" s="232"/>
      <c r="AI2" s="232"/>
      <c r="AJ2" s="212"/>
      <c r="AK2" s="212"/>
      <c r="AL2" s="212"/>
      <c r="AM2" s="212"/>
      <c r="AN2" s="212"/>
      <c r="AO2" s="212"/>
      <c r="AP2" s="212"/>
      <c r="AQ2" s="212"/>
      <c r="AR2" s="212"/>
      <c r="AS2" s="212"/>
      <c r="AT2" s="212"/>
      <c r="AU2" s="212"/>
      <c r="AV2" s="212"/>
      <c r="AW2" s="212"/>
      <c r="AX2" s="212"/>
      <c r="AY2" s="212"/>
      <c r="AZ2" s="212"/>
    </row>
    <row r="3" spans="1:62" s="118" customFormat="1" ht="19.05" customHeight="1">
      <c r="A3" s="253" t="s">
        <v>461</v>
      </c>
      <c r="B3" s="255" t="s">
        <v>459</v>
      </c>
      <c r="C3" s="257" t="s">
        <v>462</v>
      </c>
      <c r="D3" s="258" t="s">
        <v>460</v>
      </c>
      <c r="E3" s="259" t="s">
        <v>1445</v>
      </c>
      <c r="F3" s="260"/>
      <c r="G3" s="260"/>
      <c r="H3" s="260"/>
      <c r="I3" s="260"/>
      <c r="J3" s="260"/>
      <c r="K3" s="260"/>
      <c r="L3" s="260"/>
      <c r="M3" s="260"/>
      <c r="N3" s="260"/>
      <c r="O3" s="238" t="s">
        <v>1446</v>
      </c>
      <c r="P3" s="238" t="s">
        <v>1447</v>
      </c>
      <c r="Q3" s="238" t="s">
        <v>1448</v>
      </c>
      <c r="R3" s="240" t="s">
        <v>636</v>
      </c>
      <c r="S3" s="242" t="s">
        <v>1449</v>
      </c>
      <c r="T3" s="248" t="s">
        <v>1450</v>
      </c>
      <c r="U3" s="242" t="s">
        <v>1451</v>
      </c>
      <c r="V3" s="242" t="s">
        <v>1452</v>
      </c>
      <c r="W3" s="250" t="s">
        <v>1453</v>
      </c>
      <c r="X3" s="250" t="s">
        <v>1454</v>
      </c>
      <c r="Y3" s="244" t="s">
        <v>1455</v>
      </c>
      <c r="Z3" s="246" t="s">
        <v>1456</v>
      </c>
      <c r="AA3" s="236" t="s">
        <v>1457</v>
      </c>
      <c r="AB3" s="238" t="s">
        <v>1458</v>
      </c>
      <c r="AC3" s="240" t="s">
        <v>1459</v>
      </c>
      <c r="AD3" s="251" t="s">
        <v>1460</v>
      </c>
      <c r="AE3" s="233" t="s">
        <v>1461</v>
      </c>
      <c r="AF3" s="229" t="s">
        <v>1573</v>
      </c>
      <c r="AG3" s="230"/>
      <c r="AH3" s="230"/>
      <c r="AI3" s="231"/>
    </row>
    <row r="4" spans="1:62" s="118" customFormat="1" ht="6" customHeight="1">
      <c r="A4" s="254"/>
      <c r="B4" s="256"/>
      <c r="C4" s="253"/>
      <c r="D4" s="241"/>
      <c r="E4" s="261"/>
      <c r="F4" s="260"/>
      <c r="G4" s="260"/>
      <c r="H4" s="260"/>
      <c r="I4" s="260"/>
      <c r="J4" s="260"/>
      <c r="K4" s="260"/>
      <c r="L4" s="260"/>
      <c r="M4" s="260"/>
      <c r="N4" s="260"/>
      <c r="O4" s="239"/>
      <c r="P4" s="239"/>
      <c r="Q4" s="239"/>
      <c r="R4" s="241"/>
      <c r="S4" s="243"/>
      <c r="T4" s="249"/>
      <c r="U4" s="243"/>
      <c r="V4" s="243"/>
      <c r="W4" s="239"/>
      <c r="X4" s="239"/>
      <c r="Y4" s="245"/>
      <c r="Z4" s="247"/>
      <c r="AA4" s="237"/>
      <c r="AB4" s="239"/>
      <c r="AC4" s="241"/>
      <c r="AD4" s="252"/>
      <c r="AE4" s="234"/>
      <c r="AF4" s="168">
        <v>44934</v>
      </c>
      <c r="AG4" s="169">
        <v>44941</v>
      </c>
      <c r="AH4" s="169">
        <v>44948</v>
      </c>
      <c r="AI4" s="215"/>
      <c r="AJ4" s="205"/>
      <c r="AK4" s="205"/>
      <c r="AL4" s="205"/>
      <c r="AM4" s="205"/>
      <c r="AN4" s="205"/>
      <c r="AO4" s="205"/>
      <c r="AP4" s="205"/>
      <c r="AQ4" s="205"/>
      <c r="AR4" s="205"/>
      <c r="AS4" s="205"/>
      <c r="AT4" s="205"/>
      <c r="AU4" s="205"/>
      <c r="AV4" s="205"/>
      <c r="AW4" s="205"/>
      <c r="AX4" s="205"/>
      <c r="AY4" s="205"/>
      <c r="AZ4" s="205"/>
    </row>
    <row r="5" spans="1:62" ht="12" customHeight="1">
      <c r="A5" s="135"/>
      <c r="B5" s="135" t="s">
        <v>1373</v>
      </c>
      <c r="C5" s="135">
        <v>1</v>
      </c>
      <c r="D5" s="165" t="s">
        <v>499</v>
      </c>
      <c r="E5" s="136" t="s">
        <v>1582</v>
      </c>
      <c r="F5" s="136"/>
      <c r="G5" s="136"/>
      <c r="H5" s="136"/>
      <c r="I5" s="136"/>
      <c r="J5" s="136"/>
      <c r="K5" s="136"/>
      <c r="L5" s="136"/>
      <c r="M5" s="136"/>
      <c r="N5" s="136"/>
      <c r="O5" s="136"/>
      <c r="P5" s="137">
        <v>44936</v>
      </c>
      <c r="Q5" s="137">
        <v>44949</v>
      </c>
      <c r="R5" s="136"/>
      <c r="S5" s="138">
        <v>61</v>
      </c>
      <c r="T5" s="138">
        <v>58</v>
      </c>
      <c r="U5" s="138">
        <v>10</v>
      </c>
      <c r="V5" s="138">
        <v>7</v>
      </c>
      <c r="W5" s="137"/>
      <c r="X5" s="137"/>
      <c r="Y5" s="139">
        <v>0</v>
      </c>
      <c r="Z5" s="140">
        <v>0</v>
      </c>
      <c r="AA5" s="138"/>
      <c r="AB5" s="136"/>
      <c r="AC5" s="141"/>
      <c r="AD5" s="164">
        <v>0.95081967213114749</v>
      </c>
      <c r="AE5" s="214">
        <v>1</v>
      </c>
      <c r="AF5" s="170"/>
      <c r="AG5" s="171"/>
      <c r="AH5" s="171" t="str">
        <f>"  " &amp; TEXT(AE5,"#0.00%") &amp; " " &amp; "카페관리 프로그램 제작" &amp; " " &amp; IF(P5="","",TEXT(P5,"M/D-")) &amp; IF(Q5="","",TEXT(Q5,"M/D")) &amp; " "</f>
        <v xml:space="preserve">  100.00% 카페관리 프로그램 제작 1/10-1/23 </v>
      </c>
      <c r="AI5" s="171"/>
    </row>
    <row r="6" spans="1:62" ht="12" customHeight="1" outlineLevel="1">
      <c r="A6" s="135"/>
      <c r="B6" s="135" t="s">
        <v>1373</v>
      </c>
      <c r="C6" s="135">
        <v>2</v>
      </c>
      <c r="D6" s="165" t="s">
        <v>545</v>
      </c>
      <c r="E6" s="136"/>
      <c r="F6" s="136" t="s">
        <v>1577</v>
      </c>
      <c r="G6" s="136"/>
      <c r="H6" s="136"/>
      <c r="I6" s="136"/>
      <c r="J6" s="136"/>
      <c r="K6" s="136"/>
      <c r="L6" s="136"/>
      <c r="M6" s="136"/>
      <c r="N6" s="136"/>
      <c r="O6" s="136"/>
      <c r="P6" s="137">
        <v>44936</v>
      </c>
      <c r="Q6" s="137">
        <v>44936</v>
      </c>
      <c r="R6" s="136"/>
      <c r="S6" s="138">
        <v>3</v>
      </c>
      <c r="T6" s="138">
        <v>3</v>
      </c>
      <c r="U6" s="138">
        <v>1</v>
      </c>
      <c r="V6" s="138">
        <v>1</v>
      </c>
      <c r="W6" s="137"/>
      <c r="X6" s="137"/>
      <c r="Y6" s="139">
        <v>0</v>
      </c>
      <c r="Z6" s="140">
        <v>0</v>
      </c>
      <c r="AA6" s="138"/>
      <c r="AB6" s="136"/>
      <c r="AC6" s="141"/>
      <c r="AD6" s="164">
        <v>1</v>
      </c>
      <c r="AE6" s="203">
        <v>1</v>
      </c>
      <c r="AF6" s="170" t="str">
        <f>"   " &amp; TEXT(AE6,"#0.00%") &amp; " " &amp; "큰틀만들기" &amp; " " &amp; IF(P6="","",TEXT(P6,"M/D-")) &amp; IF(Q6="","",TEXT(Q6,"M/D")) &amp; " "</f>
        <v xml:space="preserve">   100.00% 큰틀만들기 1/10-1/10 </v>
      </c>
      <c r="AG6" s="171"/>
      <c r="AH6" s="171"/>
      <c r="AI6" s="171"/>
    </row>
    <row r="7" spans="1:62" ht="12" customHeight="1" outlineLevel="2">
      <c r="A7" s="135"/>
      <c r="B7" s="135"/>
      <c r="C7" s="135">
        <v>3</v>
      </c>
      <c r="D7" s="165" t="s">
        <v>1473</v>
      </c>
      <c r="E7" s="136"/>
      <c r="F7" s="136"/>
      <c r="G7" s="136" t="s">
        <v>1574</v>
      </c>
      <c r="H7" s="136"/>
      <c r="I7" s="136"/>
      <c r="J7" s="136"/>
      <c r="K7" s="136"/>
      <c r="L7" s="136"/>
      <c r="M7" s="136"/>
      <c r="N7" s="136"/>
      <c r="O7" s="136"/>
      <c r="P7" s="137">
        <v>44936</v>
      </c>
      <c r="Q7" s="137">
        <v>44936</v>
      </c>
      <c r="R7" s="136"/>
      <c r="S7" s="138">
        <v>1</v>
      </c>
      <c r="T7" s="138">
        <v>1</v>
      </c>
      <c r="U7" s="138">
        <v>1</v>
      </c>
      <c r="V7" s="138">
        <v>1</v>
      </c>
      <c r="W7" s="137"/>
      <c r="X7" s="137"/>
      <c r="Y7" s="139"/>
      <c r="Z7" s="140">
        <v>0</v>
      </c>
      <c r="AA7" s="138"/>
      <c r="AB7" s="136"/>
      <c r="AC7" s="141"/>
      <c r="AD7" s="164">
        <v>1</v>
      </c>
      <c r="AE7" s="172">
        <v>1</v>
      </c>
      <c r="AF7" s="170" t="str">
        <f>"   " &amp; TEXT(AE7,"#0.00%") &amp; " " &amp; "요구사항명세서" &amp; " " &amp; IF(P7="","",TEXT(P7,"M/D-")) &amp; IF(Q7="","",TEXT(Q7,"M/D")) &amp; " "</f>
        <v xml:space="preserve">   100.00% 요구사항명세서 1/10-1/10 </v>
      </c>
      <c r="AG7" s="171"/>
      <c r="AH7" s="171"/>
      <c r="AI7" s="171"/>
    </row>
    <row r="8" spans="1:62" ht="12" customHeight="1" outlineLevel="2">
      <c r="A8" s="135"/>
      <c r="B8" s="135"/>
      <c r="C8" s="135">
        <v>3</v>
      </c>
      <c r="D8" s="165" t="s">
        <v>1474</v>
      </c>
      <c r="E8" s="136"/>
      <c r="F8" s="136"/>
      <c r="G8" s="136" t="s">
        <v>1575</v>
      </c>
      <c r="H8" s="136"/>
      <c r="I8" s="136"/>
      <c r="J8" s="136"/>
      <c r="K8" s="136"/>
      <c r="L8" s="136"/>
      <c r="M8" s="136"/>
      <c r="N8" s="136"/>
      <c r="O8" s="141"/>
      <c r="P8" s="141">
        <v>44936</v>
      </c>
      <c r="Q8" s="141">
        <v>44936</v>
      </c>
      <c r="R8" s="136"/>
      <c r="S8" s="138">
        <v>1</v>
      </c>
      <c r="T8" s="138">
        <v>1</v>
      </c>
      <c r="U8" s="138">
        <v>1</v>
      </c>
      <c r="V8" s="138">
        <v>1</v>
      </c>
      <c r="W8" s="137"/>
      <c r="X8" s="137"/>
      <c r="Y8" s="139"/>
      <c r="Z8" s="140">
        <v>0</v>
      </c>
      <c r="AA8" s="138"/>
      <c r="AB8" s="136"/>
      <c r="AC8" s="141"/>
      <c r="AD8" s="164">
        <v>1</v>
      </c>
      <c r="AE8" s="172">
        <v>1</v>
      </c>
      <c r="AF8" s="170" t="str">
        <f>"   " &amp; TEXT(AE8,"#0.00%") &amp; " " &amp; "일정조정" &amp; " " &amp; IF(P8="","",TEXT(P8,"M/D-")) &amp; IF(Q8="","",TEXT(Q8,"M/D")) &amp; " "</f>
        <v xml:space="preserve">   100.00% 일정조정 1/10-1/10 </v>
      </c>
      <c r="AG8" s="171"/>
      <c r="AH8" s="171"/>
      <c r="AI8" s="171"/>
    </row>
    <row r="9" spans="1:62" ht="12" customHeight="1" outlineLevel="2">
      <c r="A9" s="135"/>
      <c r="B9" s="135"/>
      <c r="C9" s="135">
        <v>3</v>
      </c>
      <c r="D9" s="165" t="s">
        <v>1594</v>
      </c>
      <c r="E9" s="136"/>
      <c r="F9" s="136"/>
      <c r="G9" s="136" t="s">
        <v>1576</v>
      </c>
      <c r="H9" s="136"/>
      <c r="I9" s="136"/>
      <c r="J9" s="136"/>
      <c r="K9" s="136"/>
      <c r="L9" s="136"/>
      <c r="M9" s="136"/>
      <c r="N9" s="136"/>
      <c r="O9" s="141"/>
      <c r="P9" s="141">
        <v>44936</v>
      </c>
      <c r="Q9" s="141">
        <v>44936</v>
      </c>
      <c r="R9" s="136"/>
      <c r="S9" s="138">
        <v>1</v>
      </c>
      <c r="T9" s="138">
        <v>1</v>
      </c>
      <c r="U9" s="138">
        <v>1</v>
      </c>
      <c r="V9" s="138">
        <v>1</v>
      </c>
      <c r="W9" s="137"/>
      <c r="X9" s="137"/>
      <c r="Y9" s="139"/>
      <c r="Z9" s="140">
        <v>0</v>
      </c>
      <c r="AA9" s="138"/>
      <c r="AB9" s="136"/>
      <c r="AC9" s="141"/>
      <c r="AD9" s="164">
        <v>1</v>
      </c>
      <c r="AE9" s="172">
        <v>1</v>
      </c>
      <c r="AF9" s="170" t="str">
        <f>"   " &amp; TEXT(AE9,"#0.00%") &amp; " " &amp; "프로토타입제작" &amp; " " &amp; IF(P9="","",TEXT(P9,"M/D-")) &amp; IF(Q9="","",TEXT(Q9,"M/D")) &amp; " "</f>
        <v xml:space="preserve">   100.00% 프로토타입제작 1/10-1/10 </v>
      </c>
      <c r="AG9" s="171"/>
      <c r="AH9" s="171"/>
      <c r="AI9" s="171"/>
    </row>
    <row r="10" spans="1:62" ht="13.2" outlineLevel="2">
      <c r="A10" s="135"/>
      <c r="B10" s="135"/>
      <c r="C10" s="135">
        <v>0</v>
      </c>
      <c r="D10" s="165"/>
      <c r="E10" s="136"/>
      <c r="F10" s="136"/>
      <c r="G10" s="136"/>
      <c r="H10" s="136"/>
      <c r="I10" s="136"/>
      <c r="J10" s="136"/>
      <c r="K10" s="136"/>
      <c r="L10" s="136"/>
      <c r="M10" s="136"/>
      <c r="N10" s="136"/>
      <c r="O10" s="141"/>
      <c r="P10" s="141"/>
      <c r="Q10" s="141"/>
      <c r="R10" s="136"/>
      <c r="S10" s="138"/>
      <c r="T10" s="138"/>
      <c r="U10" s="138">
        <v>0</v>
      </c>
      <c r="V10" s="138">
        <v>0</v>
      </c>
      <c r="W10" s="137"/>
      <c r="X10" s="137"/>
      <c r="Y10" s="139"/>
      <c r="Z10" s="140">
        <v>0</v>
      </c>
      <c r="AA10" s="138"/>
      <c r="AB10" s="136"/>
      <c r="AC10" s="141"/>
      <c r="AD10" s="164"/>
      <c r="AE10" s="175">
        <v>1</v>
      </c>
      <c r="AF10" s="170"/>
      <c r="AG10" s="171"/>
      <c r="AH10" s="171"/>
      <c r="AI10" s="171"/>
    </row>
    <row r="11" spans="1:62" ht="13.2" outlineLevel="2">
      <c r="A11" s="135"/>
      <c r="B11" s="135"/>
      <c r="C11" s="135">
        <v>0</v>
      </c>
      <c r="D11" s="165"/>
      <c r="E11" s="136"/>
      <c r="F11" s="136"/>
      <c r="G11" s="136"/>
      <c r="H11" s="136"/>
      <c r="I11" s="136"/>
      <c r="J11" s="136"/>
      <c r="K11" s="136"/>
      <c r="L11" s="136"/>
      <c r="M11" s="136"/>
      <c r="N11" s="136"/>
      <c r="O11" s="141"/>
      <c r="P11" s="141"/>
      <c r="Q11" s="141"/>
      <c r="R11" s="136"/>
      <c r="S11" s="138"/>
      <c r="T11" s="138"/>
      <c r="U11" s="138">
        <v>0</v>
      </c>
      <c r="V11" s="138">
        <v>0</v>
      </c>
      <c r="W11" s="137"/>
      <c r="X11" s="137"/>
      <c r="Y11" s="139"/>
      <c r="Z11" s="140">
        <v>0</v>
      </c>
      <c r="AA11" s="138"/>
      <c r="AB11" s="136"/>
      <c r="AC11" s="141"/>
      <c r="AD11" s="164"/>
      <c r="AE11" s="175"/>
      <c r="AF11" s="170"/>
      <c r="AG11" s="171"/>
      <c r="AH11" s="171"/>
      <c r="AI11" s="171"/>
    </row>
    <row r="12" spans="1:62" ht="12" customHeight="1" outlineLevel="1">
      <c r="A12" s="135"/>
      <c r="B12" s="135"/>
      <c r="C12" s="135">
        <v>2</v>
      </c>
      <c r="D12" s="165" t="s">
        <v>1481</v>
      </c>
      <c r="E12" s="136"/>
      <c r="F12" s="136" t="s">
        <v>1578</v>
      </c>
      <c r="G12" s="136"/>
      <c r="H12" s="136"/>
      <c r="I12" s="136"/>
      <c r="J12" s="136"/>
      <c r="K12" s="136"/>
      <c r="L12" s="136"/>
      <c r="M12" s="136"/>
      <c r="N12" s="136"/>
      <c r="O12" s="141"/>
      <c r="P12" s="141">
        <v>44936</v>
      </c>
      <c r="Q12" s="141">
        <v>44949</v>
      </c>
      <c r="R12" s="136"/>
      <c r="S12" s="138">
        <v>10</v>
      </c>
      <c r="T12" s="138">
        <v>7</v>
      </c>
      <c r="U12" s="138">
        <v>10</v>
      </c>
      <c r="V12" s="138">
        <v>7</v>
      </c>
      <c r="W12" s="137"/>
      <c r="X12" s="137"/>
      <c r="Y12" s="139"/>
      <c r="Z12" s="140">
        <v>0</v>
      </c>
      <c r="AA12" s="138"/>
      <c r="AB12" s="136"/>
      <c r="AC12" s="141"/>
      <c r="AD12" s="164">
        <v>0.7</v>
      </c>
      <c r="AE12" s="213">
        <v>1</v>
      </c>
      <c r="AF12" s="170"/>
      <c r="AG12" s="171"/>
      <c r="AH12" s="171" t="str">
        <f>"  " &amp; TEXT(AE12,"#0.00%") &amp; " " &amp; "간트차트제작" &amp; " " &amp; IF(P12="","",TEXT(P12,"M/D-")) &amp; IF(Q12="","",TEXT(Q12,"M/D")) &amp; " "</f>
        <v xml:space="preserve">  100.00% 간트차트제작 1/10-1/23 </v>
      </c>
      <c r="AI12" s="171"/>
    </row>
    <row r="13" spans="1:62" ht="12" customHeight="1" outlineLevel="1">
      <c r="A13" s="135"/>
      <c r="B13" s="135"/>
      <c r="C13" s="135">
        <v>0</v>
      </c>
      <c r="D13" s="136"/>
      <c r="E13" s="136"/>
      <c r="F13" s="136"/>
      <c r="G13" s="136"/>
      <c r="H13" s="136"/>
      <c r="I13" s="136"/>
      <c r="J13" s="136"/>
      <c r="K13" s="136"/>
      <c r="L13" s="136"/>
      <c r="M13" s="136"/>
      <c r="N13" s="136"/>
      <c r="O13" s="136"/>
      <c r="P13" s="137"/>
      <c r="Q13" s="137"/>
      <c r="R13" s="136"/>
      <c r="S13" s="138"/>
      <c r="T13" s="138"/>
      <c r="U13" s="138">
        <v>0</v>
      </c>
      <c r="V13" s="138">
        <v>0</v>
      </c>
      <c r="W13" s="137"/>
      <c r="X13" s="137"/>
      <c r="Y13" s="139"/>
      <c r="Z13" s="140">
        <v>0</v>
      </c>
      <c r="AA13" s="138"/>
      <c r="AB13" s="136"/>
      <c r="AC13" s="141"/>
      <c r="AD13" s="164"/>
      <c r="AE13" s="175"/>
      <c r="AF13" s="170"/>
      <c r="AG13" s="171"/>
      <c r="AH13" s="171"/>
      <c r="AI13" s="171"/>
    </row>
    <row r="14" spans="1:62" ht="12" customHeight="1" outlineLevel="1">
      <c r="A14" s="135"/>
      <c r="B14" s="135" t="s">
        <v>1373</v>
      </c>
      <c r="C14" s="135">
        <v>2</v>
      </c>
      <c r="D14" s="165" t="s">
        <v>1482</v>
      </c>
      <c r="E14" s="136"/>
      <c r="F14" s="136" t="s">
        <v>1593</v>
      </c>
      <c r="G14" s="136"/>
      <c r="H14" s="136"/>
      <c r="I14" s="136"/>
      <c r="J14" s="136"/>
      <c r="K14" s="136"/>
      <c r="L14" s="136"/>
      <c r="M14" s="136"/>
      <c r="N14" s="136"/>
      <c r="O14" s="136"/>
      <c r="P14" s="137">
        <v>44936</v>
      </c>
      <c r="Q14" s="137">
        <v>44939</v>
      </c>
      <c r="R14" s="136"/>
      <c r="S14" s="138">
        <v>12</v>
      </c>
      <c r="T14" s="138">
        <v>12</v>
      </c>
      <c r="U14" s="138">
        <v>4</v>
      </c>
      <c r="V14" s="138">
        <v>4</v>
      </c>
      <c r="W14" s="137"/>
      <c r="X14" s="137"/>
      <c r="Y14" s="139">
        <v>0</v>
      </c>
      <c r="Z14" s="140">
        <v>0</v>
      </c>
      <c r="AA14" s="138"/>
      <c r="AB14" s="136"/>
      <c r="AC14" s="141"/>
      <c r="AD14" s="164">
        <v>1</v>
      </c>
      <c r="AE14" s="203">
        <v>1</v>
      </c>
      <c r="AF14" s="170" t="str">
        <f>"      " &amp; TEXT(AE14,"#0.00%") &amp; " " &amp; "작은틀" &amp; " " &amp; IF(P14="","",TEXT(P14,"M/D-")) &amp; IF(Q14="","",TEXT(Q14,"M/D")) &amp; " "</f>
        <v xml:space="preserve">      100.00% 작은틀 1/10-1/13 </v>
      </c>
      <c r="AG14" s="171"/>
      <c r="AH14" s="171"/>
      <c r="AI14" s="171"/>
    </row>
    <row r="15" spans="1:62" ht="12" customHeight="1" outlineLevel="2">
      <c r="A15" s="135"/>
      <c r="B15" s="135"/>
      <c r="C15" s="135">
        <v>3</v>
      </c>
      <c r="D15" s="165" t="s">
        <v>1478</v>
      </c>
      <c r="E15" s="136"/>
      <c r="F15" s="136"/>
      <c r="G15" s="136" t="s">
        <v>1579</v>
      </c>
      <c r="H15" s="136"/>
      <c r="I15" s="136"/>
      <c r="J15" s="136"/>
      <c r="K15" s="136"/>
      <c r="L15" s="136"/>
      <c r="M15" s="136"/>
      <c r="N15" s="136"/>
      <c r="O15" s="136"/>
      <c r="P15" s="141">
        <v>44936</v>
      </c>
      <c r="Q15" s="137">
        <v>44939</v>
      </c>
      <c r="R15" s="136"/>
      <c r="S15" s="138">
        <v>4</v>
      </c>
      <c r="T15" s="138">
        <v>4</v>
      </c>
      <c r="U15" s="138">
        <v>4</v>
      </c>
      <c r="V15" s="138">
        <v>4</v>
      </c>
      <c r="W15" s="137"/>
      <c r="X15" s="137"/>
      <c r="Y15" s="139"/>
      <c r="Z15" s="140">
        <v>0</v>
      </c>
      <c r="AA15" s="138"/>
      <c r="AB15" s="136"/>
      <c r="AC15" s="141"/>
      <c r="AD15" s="164">
        <v>1</v>
      </c>
      <c r="AE15" s="172">
        <v>1</v>
      </c>
      <c r="AF15" s="170" t="str">
        <f>"      " &amp; TEXT(AE15,"#0.00%") &amp; " " &amp; "클래스다이어그램" &amp; " " &amp; IF(P15="","",TEXT(P15,"M/D-")) &amp; IF(Q15="","",TEXT(Q15,"M/D")) &amp; " "</f>
        <v xml:space="preserve">      100.00% 클래스다이어그램 1/10-1/13 </v>
      </c>
      <c r="AG15" s="171"/>
      <c r="AH15" s="171"/>
      <c r="AI15" s="171"/>
    </row>
    <row r="16" spans="1:62" ht="12" customHeight="1" outlineLevel="2">
      <c r="A16" s="135"/>
      <c r="B16" s="135"/>
      <c r="C16" s="135">
        <v>3</v>
      </c>
      <c r="D16" s="165" t="s">
        <v>1479</v>
      </c>
      <c r="E16" s="136"/>
      <c r="F16" s="136"/>
      <c r="G16" s="136" t="s">
        <v>1580</v>
      </c>
      <c r="H16" s="136"/>
      <c r="I16" s="136"/>
      <c r="J16" s="136"/>
      <c r="K16" s="136"/>
      <c r="L16" s="136"/>
      <c r="M16" s="136"/>
      <c r="N16" s="136"/>
      <c r="O16" s="136"/>
      <c r="P16" s="141">
        <v>44936</v>
      </c>
      <c r="Q16" s="137">
        <v>44939</v>
      </c>
      <c r="R16" s="136"/>
      <c r="S16" s="138">
        <v>4</v>
      </c>
      <c r="T16" s="138">
        <v>4</v>
      </c>
      <c r="U16" s="138">
        <v>4</v>
      </c>
      <c r="V16" s="138">
        <v>4</v>
      </c>
      <c r="W16" s="137"/>
      <c r="X16" s="137"/>
      <c r="Y16" s="139"/>
      <c r="Z16" s="140">
        <v>0</v>
      </c>
      <c r="AA16" s="138"/>
      <c r="AB16" s="136"/>
      <c r="AC16" s="141"/>
      <c r="AD16" s="164">
        <v>1</v>
      </c>
      <c r="AE16" s="172">
        <v>1</v>
      </c>
      <c r="AF16" s="170" t="str">
        <f>"      " &amp; TEXT(AE16,"#0.00%") &amp; " " &amp; "작업분배" &amp; " " &amp; IF(P16="","",TEXT(P16,"M/D-")) &amp; IF(Q16="","",TEXT(Q16,"M/D")) &amp; " "</f>
        <v xml:space="preserve">      100.00% 작업분배 1/10-1/13 </v>
      </c>
      <c r="AG16" s="171"/>
      <c r="AH16" s="171"/>
      <c r="AI16" s="171"/>
    </row>
    <row r="17" spans="1:35" ht="12" customHeight="1" outlineLevel="2">
      <c r="A17" s="135"/>
      <c r="B17" s="135"/>
      <c r="C17" s="135">
        <v>3</v>
      </c>
      <c r="D17" s="165" t="s">
        <v>1501</v>
      </c>
      <c r="E17" s="136"/>
      <c r="F17" s="136"/>
      <c r="G17" s="136" t="s">
        <v>1581</v>
      </c>
      <c r="H17" s="136"/>
      <c r="I17" s="136"/>
      <c r="J17" s="136"/>
      <c r="K17" s="136"/>
      <c r="L17" s="136"/>
      <c r="M17" s="136"/>
      <c r="N17" s="136"/>
      <c r="O17" s="136"/>
      <c r="P17" s="141">
        <v>44936</v>
      </c>
      <c r="Q17" s="137">
        <v>44939</v>
      </c>
      <c r="R17" s="136"/>
      <c r="S17" s="138">
        <v>4</v>
      </c>
      <c r="T17" s="138">
        <v>4</v>
      </c>
      <c r="U17" s="138">
        <v>4</v>
      </c>
      <c r="V17" s="138">
        <v>4</v>
      </c>
      <c r="W17" s="137"/>
      <c r="X17" s="137"/>
      <c r="Y17" s="139"/>
      <c r="Z17" s="140">
        <v>0</v>
      </c>
      <c r="AA17" s="138"/>
      <c r="AB17" s="136"/>
      <c r="AC17" s="141"/>
      <c r="AD17" s="164">
        <v>1</v>
      </c>
      <c r="AE17" s="172">
        <v>1</v>
      </c>
      <c r="AF17" s="170" t="str">
        <f>"      " &amp; TEXT(AE17,"#0.00%") &amp; " " &amp; "깃허브" &amp; " " &amp; IF(P17="","",TEXT(P17,"M/D-")) &amp; IF(Q17="","",TEXT(Q17,"M/D")) &amp; " "</f>
        <v xml:space="preserve">      100.00% 깃허브 1/10-1/13 </v>
      </c>
      <c r="AG17" s="171"/>
      <c r="AH17" s="171"/>
      <c r="AI17" s="171"/>
    </row>
    <row r="18" spans="1:35" ht="12" customHeight="1" outlineLevel="2">
      <c r="A18" s="135"/>
      <c r="B18" s="135"/>
      <c r="C18" s="135">
        <v>0</v>
      </c>
      <c r="D18" s="165"/>
      <c r="E18" s="136"/>
      <c r="F18" s="136"/>
      <c r="G18" s="136"/>
      <c r="H18" s="136"/>
      <c r="I18" s="136"/>
      <c r="J18" s="136"/>
      <c r="K18" s="136"/>
      <c r="L18" s="136"/>
      <c r="M18" s="136"/>
      <c r="N18" s="136"/>
      <c r="O18" s="136"/>
      <c r="P18" s="137"/>
      <c r="Q18" s="137"/>
      <c r="R18" s="136"/>
      <c r="S18" s="138"/>
      <c r="T18" s="138"/>
      <c r="U18" s="138">
        <v>0</v>
      </c>
      <c r="V18" s="138">
        <v>0</v>
      </c>
      <c r="W18" s="137"/>
      <c r="X18" s="137"/>
      <c r="Y18" s="139"/>
      <c r="Z18" s="140">
        <v>0</v>
      </c>
      <c r="AA18" s="138"/>
      <c r="AB18" s="136"/>
      <c r="AC18" s="141"/>
      <c r="AD18" s="164"/>
      <c r="AE18" s="175"/>
      <c r="AF18" s="170"/>
      <c r="AG18" s="171"/>
      <c r="AH18" s="171"/>
      <c r="AI18" s="171"/>
    </row>
    <row r="19" spans="1:35" ht="12" customHeight="1" outlineLevel="1">
      <c r="A19" s="135"/>
      <c r="B19" s="135" t="s">
        <v>1373</v>
      </c>
      <c r="C19" s="135">
        <v>2</v>
      </c>
      <c r="D19" s="165" t="s">
        <v>1584</v>
      </c>
      <c r="E19" s="136"/>
      <c r="F19" s="136" t="s">
        <v>1592</v>
      </c>
      <c r="G19" s="136"/>
      <c r="H19" s="136"/>
      <c r="I19" s="136"/>
      <c r="J19" s="136"/>
      <c r="K19" s="136"/>
      <c r="L19" s="136"/>
      <c r="M19" s="136"/>
      <c r="N19" s="136"/>
      <c r="O19" s="136"/>
      <c r="P19" s="137">
        <v>44939</v>
      </c>
      <c r="Q19" s="137">
        <v>44944</v>
      </c>
      <c r="R19" s="136"/>
      <c r="S19" s="138">
        <v>36</v>
      </c>
      <c r="T19" s="138">
        <v>36</v>
      </c>
      <c r="U19" s="138">
        <v>4</v>
      </c>
      <c r="V19" s="138">
        <v>4</v>
      </c>
      <c r="W19" s="137"/>
      <c r="X19" s="137"/>
      <c r="Y19" s="139">
        <v>0</v>
      </c>
      <c r="Z19" s="140">
        <v>0</v>
      </c>
      <c r="AA19" s="138"/>
      <c r="AB19" s="136"/>
      <c r="AC19" s="141"/>
      <c r="AD19" s="164">
        <v>1</v>
      </c>
      <c r="AE19" s="203">
        <v>1</v>
      </c>
      <c r="AF19" s="170"/>
      <c r="AG19" s="171" t="str">
        <f>"    " &amp; TEXT(AE19,"#0.00%") &amp; " " &amp; "세세한틀" &amp; " " &amp; IF(P19="","",TEXT(P19,"M/D-")) &amp; IF(Q19="","",TEXT(Q19,"M/D")) &amp; " "</f>
        <v xml:space="preserve">    100.00% 세세한틀 1/13-1/18 </v>
      </c>
      <c r="AH19" s="171"/>
      <c r="AI19" s="171"/>
    </row>
    <row r="20" spans="1:35" ht="12" customHeight="1" outlineLevel="2">
      <c r="A20" s="135"/>
      <c r="B20" s="135"/>
      <c r="C20" s="135">
        <v>3</v>
      </c>
      <c r="D20" s="165" t="s">
        <v>1585</v>
      </c>
      <c r="E20" s="136"/>
      <c r="F20" s="136"/>
      <c r="G20" s="136" t="s">
        <v>1583</v>
      </c>
      <c r="H20" s="136"/>
      <c r="I20" s="136"/>
      <c r="J20" s="136"/>
      <c r="K20" s="136"/>
      <c r="L20" s="136"/>
      <c r="M20" s="136"/>
      <c r="N20" s="136"/>
      <c r="O20" s="136"/>
      <c r="P20" s="137">
        <v>44939</v>
      </c>
      <c r="Q20" s="137">
        <v>44944</v>
      </c>
      <c r="R20" s="136"/>
      <c r="S20" s="138">
        <v>4</v>
      </c>
      <c r="T20" s="138">
        <v>4</v>
      </c>
      <c r="U20" s="138">
        <v>4</v>
      </c>
      <c r="V20" s="138">
        <v>4</v>
      </c>
      <c r="W20" s="137"/>
      <c r="X20" s="137"/>
      <c r="Y20" s="139"/>
      <c r="Z20" s="140">
        <v>0</v>
      </c>
      <c r="AA20" s="138"/>
      <c r="AB20" s="136"/>
      <c r="AC20" s="141"/>
      <c r="AD20" s="164">
        <v>1</v>
      </c>
      <c r="AE20" s="172">
        <v>1</v>
      </c>
      <c r="AF20" s="170"/>
      <c r="AG20" s="171" t="str">
        <f>"    " &amp; TEXT(AE20,"#0.00%") &amp; " " &amp; "프레임" &amp; " " &amp; IF(P20="","",TEXT(P20,"M/D-")) &amp; IF(Q20="","",TEXT(Q20,"M/D")) &amp; " "</f>
        <v xml:space="preserve">    100.00% 프레임 1/13-1/18 </v>
      </c>
      <c r="AH20" s="171"/>
      <c r="AI20" s="171"/>
    </row>
    <row r="21" spans="1:35" ht="12" customHeight="1" outlineLevel="2">
      <c r="A21" s="135"/>
      <c r="B21" s="135"/>
      <c r="C21" s="135">
        <v>3</v>
      </c>
      <c r="D21" s="165" t="s">
        <v>1586</v>
      </c>
      <c r="E21" s="136"/>
      <c r="F21" s="136"/>
      <c r="G21" s="136" t="s">
        <v>1595</v>
      </c>
      <c r="H21" s="136"/>
      <c r="I21" s="136"/>
      <c r="J21" s="136"/>
      <c r="K21" s="136"/>
      <c r="L21" s="136"/>
      <c r="M21" s="136"/>
      <c r="N21" s="136"/>
      <c r="O21" s="136"/>
      <c r="P21" s="137">
        <v>44939</v>
      </c>
      <c r="Q21" s="137">
        <v>44944</v>
      </c>
      <c r="R21" s="136"/>
      <c r="S21" s="138">
        <v>4</v>
      </c>
      <c r="T21" s="138">
        <v>4</v>
      </c>
      <c r="U21" s="138">
        <v>4</v>
      </c>
      <c r="V21" s="138">
        <v>4</v>
      </c>
      <c r="W21" s="137"/>
      <c r="X21" s="137"/>
      <c r="Y21" s="139"/>
      <c r="Z21" s="140">
        <v>0</v>
      </c>
      <c r="AA21" s="138"/>
      <c r="AB21" s="136"/>
      <c r="AC21" s="141"/>
      <c r="AD21" s="164">
        <v>1</v>
      </c>
      <c r="AE21" s="172">
        <v>1</v>
      </c>
      <c r="AF21" s="170"/>
      <c r="AG21" s="171" t="str">
        <f>"    " &amp; TEXT(AE21,"#0.00%") &amp; " " &amp; "패널" &amp; " " &amp; IF(P21="","",TEXT(P21,"M/D-")) &amp; IF(Q21="","",TEXT(Q21,"M/D")) &amp; " "</f>
        <v xml:space="preserve">    100.00% 패널 1/13-1/18 </v>
      </c>
      <c r="AH21" s="171"/>
      <c r="AI21" s="171"/>
    </row>
    <row r="22" spans="1:35" ht="12" customHeight="1" outlineLevel="2">
      <c r="A22" s="135"/>
      <c r="B22" s="135"/>
      <c r="C22" s="135">
        <v>3</v>
      </c>
      <c r="D22" s="165" t="s">
        <v>1587</v>
      </c>
      <c r="E22" s="136"/>
      <c r="F22" s="136"/>
      <c r="G22" s="136" t="s">
        <v>1596</v>
      </c>
      <c r="H22" s="136"/>
      <c r="I22" s="136"/>
      <c r="J22" s="136"/>
      <c r="K22" s="136"/>
      <c r="L22" s="136"/>
      <c r="M22" s="136"/>
      <c r="N22" s="136"/>
      <c r="O22" s="136"/>
      <c r="P22" s="137">
        <v>44939</v>
      </c>
      <c r="Q22" s="137">
        <v>44944</v>
      </c>
      <c r="R22" s="136"/>
      <c r="S22" s="138">
        <v>4</v>
      </c>
      <c r="T22" s="138">
        <v>4</v>
      </c>
      <c r="U22" s="138">
        <v>4</v>
      </c>
      <c r="V22" s="138">
        <v>4</v>
      </c>
      <c r="W22" s="137"/>
      <c r="X22" s="137"/>
      <c r="Y22" s="139"/>
      <c r="Z22" s="140">
        <v>0</v>
      </c>
      <c r="AA22" s="138"/>
      <c r="AB22" s="136"/>
      <c r="AC22" s="141"/>
      <c r="AD22" s="164">
        <v>1</v>
      </c>
      <c r="AE22" s="172">
        <v>1</v>
      </c>
      <c r="AF22" s="170"/>
      <c r="AG22" s="171" t="str">
        <f>"    " &amp; TEXT(AE22,"#0.00%") &amp; " " &amp; "인원수라벨" &amp; " " &amp; IF(P22="","",TEXT(P22,"M/D-")) &amp; IF(Q22="","",TEXT(Q22,"M/D")) &amp; " "</f>
        <v xml:space="preserve">    100.00% 인원수라벨 1/13-1/18 </v>
      </c>
      <c r="AH22" s="171"/>
      <c r="AI22" s="171"/>
    </row>
    <row r="23" spans="1:35" ht="12" customHeight="1" outlineLevel="2">
      <c r="A23" s="135"/>
      <c r="B23" s="135"/>
      <c r="C23" s="135">
        <v>3</v>
      </c>
      <c r="D23" s="165" t="s">
        <v>1590</v>
      </c>
      <c r="E23" s="136"/>
      <c r="F23" s="136"/>
      <c r="G23" s="136" t="s">
        <v>1597</v>
      </c>
      <c r="H23" s="136"/>
      <c r="I23" s="136"/>
      <c r="J23" s="136"/>
      <c r="K23" s="136"/>
      <c r="L23" s="136"/>
      <c r="M23" s="136"/>
      <c r="N23" s="136"/>
      <c r="O23" s="136"/>
      <c r="P23" s="137">
        <v>44939</v>
      </c>
      <c r="Q23" s="137">
        <v>44944</v>
      </c>
      <c r="R23" s="136"/>
      <c r="S23" s="138">
        <v>4</v>
      </c>
      <c r="T23" s="138">
        <v>4</v>
      </c>
      <c r="U23" s="138">
        <v>4</v>
      </c>
      <c r="V23" s="138">
        <v>4</v>
      </c>
      <c r="W23" s="137"/>
      <c r="X23" s="137"/>
      <c r="Y23" s="139"/>
      <c r="Z23" s="140">
        <v>0</v>
      </c>
      <c r="AA23" s="138"/>
      <c r="AB23" s="136"/>
      <c r="AC23" s="141"/>
      <c r="AD23" s="164">
        <v>1</v>
      </c>
      <c r="AE23" s="172">
        <v>1</v>
      </c>
      <c r="AF23" s="170"/>
      <c r="AG23" s="171" t="str">
        <f>"    " &amp; TEXT(AE23,"#0.00%") &amp; " " &amp; "잔여좌석라벨" &amp; " " &amp; IF(P23="","",TEXT(P23,"M/D-")) &amp; IF(Q23="","",TEXT(Q23,"M/D")) &amp; " "</f>
        <v xml:space="preserve">    100.00% 잔여좌석라벨 1/13-1/18 </v>
      </c>
      <c r="AH23" s="171"/>
      <c r="AI23" s="171"/>
    </row>
    <row r="24" spans="1:35" ht="12" customHeight="1" outlineLevel="2">
      <c r="A24" s="135"/>
      <c r="B24" s="135"/>
      <c r="C24" s="135">
        <v>3</v>
      </c>
      <c r="D24" s="165" t="s">
        <v>1591</v>
      </c>
      <c r="E24" s="136"/>
      <c r="F24" s="136"/>
      <c r="G24" s="136" t="s">
        <v>1598</v>
      </c>
      <c r="H24" s="136"/>
      <c r="I24" s="136"/>
      <c r="J24" s="136"/>
      <c r="K24" s="136"/>
      <c r="L24" s="136"/>
      <c r="M24" s="136"/>
      <c r="N24" s="136"/>
      <c r="O24" s="136"/>
      <c r="P24" s="137">
        <v>44939</v>
      </c>
      <c r="Q24" s="137">
        <v>44944</v>
      </c>
      <c r="R24" s="136"/>
      <c r="S24" s="138">
        <v>4</v>
      </c>
      <c r="T24" s="138">
        <v>4</v>
      </c>
      <c r="U24" s="138">
        <v>4</v>
      </c>
      <c r="V24" s="138">
        <v>4</v>
      </c>
      <c r="W24" s="137"/>
      <c r="X24" s="137"/>
      <c r="Y24" s="139"/>
      <c r="Z24" s="140">
        <v>0</v>
      </c>
      <c r="AA24" s="138"/>
      <c r="AB24" s="136"/>
      <c r="AC24" s="141"/>
      <c r="AD24" s="164">
        <v>1</v>
      </c>
      <c r="AE24" s="172">
        <v>1</v>
      </c>
      <c r="AF24" s="170"/>
      <c r="AG24" s="171" t="str">
        <f>"    " &amp; TEXT(AE24,"#0.00%") &amp; " " &amp; "입장버튼" &amp; " " &amp; IF(P24="","",TEXT(P24,"M/D-")) &amp; IF(Q24="","",TEXT(Q24,"M/D")) &amp; " "</f>
        <v xml:space="preserve">    100.00% 입장버튼 1/13-1/18 </v>
      </c>
      <c r="AH24" s="171"/>
      <c r="AI24" s="171"/>
    </row>
    <row r="25" spans="1:35" ht="12" customHeight="1" outlineLevel="2">
      <c r="A25" s="135"/>
      <c r="B25" s="135"/>
      <c r="C25" s="135">
        <v>3</v>
      </c>
      <c r="D25" s="165" t="s">
        <v>1601</v>
      </c>
      <c r="E25" s="136"/>
      <c r="F25" s="136"/>
      <c r="G25" s="136" t="s">
        <v>1599</v>
      </c>
      <c r="H25" s="136"/>
      <c r="I25" s="136"/>
      <c r="J25" s="136"/>
      <c r="K25" s="136"/>
      <c r="L25" s="136"/>
      <c r="M25" s="136"/>
      <c r="N25" s="136"/>
      <c r="O25" s="136"/>
      <c r="P25" s="137">
        <v>44939</v>
      </c>
      <c r="Q25" s="137">
        <v>44944</v>
      </c>
      <c r="R25" s="136"/>
      <c r="S25" s="138">
        <v>4</v>
      </c>
      <c r="T25" s="138">
        <v>4</v>
      </c>
      <c r="U25" s="138">
        <v>4</v>
      </c>
      <c r="V25" s="138">
        <v>4</v>
      </c>
      <c r="W25" s="137"/>
      <c r="X25" s="137"/>
      <c r="Y25" s="139"/>
      <c r="Z25" s="140">
        <v>0</v>
      </c>
      <c r="AA25" s="138"/>
      <c r="AB25" s="136"/>
      <c r="AC25" s="141"/>
      <c r="AD25" s="164">
        <v>1</v>
      </c>
      <c r="AE25" s="172">
        <v>1</v>
      </c>
      <c r="AF25" s="170"/>
      <c r="AG25" s="171" t="str">
        <f>"    " &amp; TEXT(AE25,"#0.00%") &amp; " " &amp; "퇴장버튼" &amp; " " &amp; IF(P25="","",TEXT(P25,"M/D-")) &amp; IF(Q25="","",TEXT(Q25,"M/D")) &amp; " "</f>
        <v xml:space="preserve">    100.00% 퇴장버튼 1/13-1/18 </v>
      </c>
      <c r="AH25" s="171"/>
      <c r="AI25" s="171"/>
    </row>
    <row r="26" spans="1:35" ht="12" customHeight="1" outlineLevel="2">
      <c r="A26" s="135"/>
      <c r="B26" s="135"/>
      <c r="C26" s="135">
        <v>3</v>
      </c>
      <c r="D26" s="165" t="s">
        <v>1602</v>
      </c>
      <c r="E26" s="136"/>
      <c r="F26" s="136"/>
      <c r="G26" s="136" t="s">
        <v>1588</v>
      </c>
      <c r="H26" s="136"/>
      <c r="I26" s="136"/>
      <c r="J26" s="136"/>
      <c r="K26" s="136"/>
      <c r="L26" s="136"/>
      <c r="M26" s="136"/>
      <c r="N26" s="136"/>
      <c r="O26" s="136"/>
      <c r="P26" s="137">
        <v>44939</v>
      </c>
      <c r="Q26" s="137">
        <v>44944</v>
      </c>
      <c r="R26" s="136"/>
      <c r="S26" s="138">
        <v>4</v>
      </c>
      <c r="T26" s="138">
        <v>4</v>
      </c>
      <c r="U26" s="138">
        <v>4</v>
      </c>
      <c r="V26" s="138">
        <v>4</v>
      </c>
      <c r="W26" s="137"/>
      <c r="X26" s="137"/>
      <c r="Y26" s="139"/>
      <c r="Z26" s="140">
        <v>0</v>
      </c>
      <c r="AA26" s="138"/>
      <c r="AB26" s="136"/>
      <c r="AC26" s="141"/>
      <c r="AD26" s="164">
        <v>1</v>
      </c>
      <c r="AE26" s="172">
        <v>1</v>
      </c>
      <c r="AF26" s="170"/>
      <c r="AG26" s="171" t="str">
        <f>"    " &amp; TEXT(AE26,"#0.00%") &amp; " " &amp; "위치" &amp; " " &amp; IF(P26="","",TEXT(P26,"M/D-")) &amp; IF(Q26="","",TEXT(Q26,"M/D")) &amp; " "</f>
        <v xml:space="preserve">    100.00% 위치 1/13-1/18 </v>
      </c>
      <c r="AH26" s="171"/>
      <c r="AI26" s="171"/>
    </row>
    <row r="27" spans="1:35" ht="12" customHeight="1" outlineLevel="2">
      <c r="A27" s="135"/>
      <c r="B27" s="135"/>
      <c r="C27" s="135">
        <v>3</v>
      </c>
      <c r="D27" s="165" t="s">
        <v>1603</v>
      </c>
      <c r="E27" s="136"/>
      <c r="F27" s="136"/>
      <c r="G27" s="136" t="s">
        <v>1589</v>
      </c>
      <c r="H27" s="136"/>
      <c r="I27" s="136"/>
      <c r="J27" s="136"/>
      <c r="K27" s="136"/>
      <c r="L27" s="136"/>
      <c r="M27" s="136"/>
      <c r="N27" s="136"/>
      <c r="O27" s="136"/>
      <c r="P27" s="137">
        <v>44939</v>
      </c>
      <c r="Q27" s="137">
        <v>44944</v>
      </c>
      <c r="R27" s="136"/>
      <c r="S27" s="138">
        <v>4</v>
      </c>
      <c r="T27" s="138">
        <v>4</v>
      </c>
      <c r="U27" s="138">
        <v>4</v>
      </c>
      <c r="V27" s="138">
        <v>4</v>
      </c>
      <c r="W27" s="137"/>
      <c r="X27" s="137"/>
      <c r="Y27" s="139"/>
      <c r="Z27" s="140">
        <v>0</v>
      </c>
      <c r="AA27" s="138"/>
      <c r="AB27" s="136"/>
      <c r="AC27" s="141"/>
      <c r="AD27" s="164">
        <v>1</v>
      </c>
      <c r="AE27" s="172">
        <v>1</v>
      </c>
      <c r="AF27" s="170"/>
      <c r="AG27" s="171" t="str">
        <f>"    " &amp; TEXT(AE27,"#0.00%") &amp; " " &amp; "색상" &amp; " " &amp; IF(P27="","",TEXT(P27,"M/D-")) &amp; IF(Q27="","",TEXT(Q27,"M/D")) &amp; " "</f>
        <v xml:space="preserve">    100.00% 색상 1/13-1/18 </v>
      </c>
      <c r="AH27" s="171"/>
      <c r="AI27" s="171"/>
    </row>
    <row r="28" spans="1:35" ht="12" customHeight="1" outlineLevel="2">
      <c r="A28" s="135"/>
      <c r="B28" s="135"/>
      <c r="C28" s="135">
        <v>3</v>
      </c>
      <c r="D28" s="165" t="s">
        <v>1604</v>
      </c>
      <c r="E28" s="136"/>
      <c r="F28" s="136"/>
      <c r="G28" s="136" t="s">
        <v>1600</v>
      </c>
      <c r="H28" s="136"/>
      <c r="I28" s="136"/>
      <c r="J28" s="136"/>
      <c r="K28" s="136"/>
      <c r="L28" s="136"/>
      <c r="M28" s="136"/>
      <c r="N28" s="136"/>
      <c r="O28" s="136"/>
      <c r="P28" s="137">
        <v>44939</v>
      </c>
      <c r="Q28" s="137">
        <v>44944</v>
      </c>
      <c r="R28" s="136"/>
      <c r="S28" s="138">
        <v>4</v>
      </c>
      <c r="T28" s="138">
        <v>4</v>
      </c>
      <c r="U28" s="138">
        <v>4</v>
      </c>
      <c r="V28" s="138">
        <v>4</v>
      </c>
      <c r="W28" s="137"/>
      <c r="X28" s="137"/>
      <c r="Y28" s="139"/>
      <c r="Z28" s="140">
        <v>0</v>
      </c>
      <c r="AA28" s="138"/>
      <c r="AB28" s="136"/>
      <c r="AC28" s="141"/>
      <c r="AD28" s="164">
        <v>1</v>
      </c>
      <c r="AE28" s="172">
        <v>1</v>
      </c>
      <c r="AF28" s="170"/>
      <c r="AG28" s="171" t="str">
        <f>"    " &amp; TEXT(AE28,"#0.00%") &amp; " " &amp; "버튼이벤트리스너" &amp; " " &amp; IF(P28="","",TEXT(P28,"M/D-")) &amp; IF(Q28="","",TEXT(Q28,"M/D")) &amp; " "</f>
        <v xml:space="preserve">    100.00% 버튼이벤트리스너 1/13-1/18 </v>
      </c>
      <c r="AH28" s="171"/>
      <c r="AI28" s="171"/>
    </row>
    <row r="29" spans="1:35" ht="12" customHeight="1">
      <c r="A29" s="154"/>
      <c r="B29" s="154"/>
      <c r="C29" s="154"/>
      <c r="D29" s="155"/>
      <c r="E29" s="156"/>
      <c r="F29" s="156"/>
      <c r="G29" s="156"/>
      <c r="H29" s="156"/>
      <c r="I29" s="156"/>
      <c r="J29" s="156"/>
      <c r="K29" s="156"/>
      <c r="L29" s="156"/>
      <c r="M29" s="156"/>
      <c r="N29" s="156"/>
      <c r="O29" s="156"/>
      <c r="P29" s="157"/>
      <c r="Q29" s="157"/>
      <c r="R29" s="156"/>
      <c r="S29" s="158"/>
      <c r="T29" s="158"/>
      <c r="U29" s="158"/>
      <c r="V29" s="158"/>
      <c r="W29" s="157"/>
      <c r="X29" s="157"/>
      <c r="Y29" s="159"/>
      <c r="Z29" s="160"/>
      <c r="AA29" s="158"/>
      <c r="AB29" s="156"/>
      <c r="AC29" s="161"/>
      <c r="AD29" s="162"/>
      <c r="AE29" s="163"/>
      <c r="AF29" s="167"/>
      <c r="AG29" s="167"/>
      <c r="AH29" s="167"/>
      <c r="AI29" s="167"/>
    </row>
  </sheetData>
  <sheetProtection formatCells="0" formatColumns="0" formatRows="0" insertColumns="0" insertRows="0" insertHyperlinks="0" deleteColumns="0" deleteRows="0" sort="0" autoFilter="0" pivotTables="0"/>
  <dataConsolidate/>
  <mergeCells count="25">
    <mergeCell ref="O3:O4"/>
    <mergeCell ref="AB3:AB4"/>
    <mergeCell ref="AC3:AC4"/>
    <mergeCell ref="AD3:AD4"/>
    <mergeCell ref="A3:A4"/>
    <mergeCell ref="B3:B4"/>
    <mergeCell ref="C3:C4"/>
    <mergeCell ref="D3:D4"/>
    <mergeCell ref="E3:N4"/>
    <mergeCell ref="AF3:AI3"/>
    <mergeCell ref="AF2:AI2"/>
    <mergeCell ref="AE3:AE4"/>
    <mergeCell ref="D2:F2"/>
    <mergeCell ref="AA3:AA4"/>
    <mergeCell ref="P3:P4"/>
    <mergeCell ref="Q3:Q4"/>
    <mergeCell ref="R3:R4"/>
    <mergeCell ref="S3:S4"/>
    <mergeCell ref="Y3:Y4"/>
    <mergeCell ref="Z3:Z4"/>
    <mergeCell ref="T3:T4"/>
    <mergeCell ref="U3:U4"/>
    <mergeCell ref="V3:V4"/>
    <mergeCell ref="W3:W4"/>
    <mergeCell ref="X3:X4"/>
  </mergeCells>
  <phoneticPr fontId="1" type="noConversion"/>
  <conditionalFormatting sqref="D5:AD28">
    <cfRule type="expression" dxfId="0" priority="1">
      <formula>($B5="G")</formula>
    </cfRule>
  </conditionalFormatting>
  <hyperlinks>
    <hyperlink ref="AF1:BJ1" r:id="rId1" display="https://xlworks.net/xlgantt-project-scheduler/" xr:uid="{28E66CD0-9AB6-4DAA-8A42-9256524734B3}"/>
  </hyperlinks>
  <pageMargins left="0.19685039370078741" right="0.23622047244094491" top="0.43307086614173229" bottom="0.23622047244094491" header="0.23622047244094491" footer="0.19685039370078741"/>
  <pageSetup paperSize="9" scale="83" orientation="landscape" r:id="rId2"/>
  <headerFooter alignWithMargins="0">
    <oddFooter>&amp;L&amp;"-,보통"&amp;9XLGantt ©http://xlworks.net&amp;C&amp;"-,보통"&amp;9&amp;P/&amp;N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sheetView>
  </sheetViews>
  <sheetFormatPr defaultColWidth="10" defaultRowHeight="14.4"/>
  <cols>
    <col min="1" max="1" width="35.3984375" style="57" customWidth="1"/>
    <col min="2" max="2" width="13.19921875" style="55" customWidth="1"/>
    <col min="3" max="3" width="9.8984375" style="59" customWidth="1"/>
    <col min="4" max="4" width="31.3984375" style="59" customWidth="1"/>
    <col min="5" max="6" width="14.09765625" style="59" customWidth="1"/>
    <col min="7" max="7" width="28.3984375" style="59" customWidth="1"/>
    <col min="8" max="9" width="10" style="59"/>
    <col min="10" max="10" width="8.89843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 customHeight="1">
      <c r="A1" s="1" t="s">
        <v>1428</v>
      </c>
      <c r="B1" s="2"/>
      <c r="C1" s="2"/>
      <c r="D1" s="2"/>
      <c r="E1" s="2"/>
      <c r="F1" s="2"/>
      <c r="G1" s="2"/>
      <c r="H1" s="2"/>
      <c r="I1" s="2"/>
      <c r="J1" s="2"/>
      <c r="K1" s="2"/>
      <c r="L1" s="264"/>
      <c r="M1" s="265"/>
      <c r="N1" s="265"/>
      <c r="O1" s="3"/>
      <c r="P1" s="3"/>
      <c r="Q1" s="3"/>
    </row>
    <row r="2" spans="1:17" s="7" customFormat="1" ht="13.8">
      <c r="A2" s="5" t="s">
        <v>1431</v>
      </c>
      <c r="B2" s="6"/>
    </row>
    <row r="3" spans="1:17" s="7" customFormat="1" ht="13.8">
      <c r="A3" s="5" t="s">
        <v>1432</v>
      </c>
      <c r="B3" s="6"/>
    </row>
    <row r="4" spans="1:17" s="7" customFormat="1" ht="13.8">
      <c r="A4" s="266"/>
      <c r="B4" s="266"/>
      <c r="C4" s="8"/>
      <c r="D4" s="9"/>
      <c r="E4" s="9"/>
      <c r="F4" s="9"/>
    </row>
    <row r="5" spans="1:17" s="15" customFormat="1" ht="13.8">
      <c r="A5" s="10"/>
      <c r="B5" s="11"/>
      <c r="C5" s="12"/>
      <c r="D5" s="13"/>
      <c r="E5" s="14"/>
      <c r="F5" s="14"/>
      <c r="G5" s="14"/>
    </row>
    <row r="6" spans="1:17" s="15" customFormat="1" ht="13.8">
      <c r="A6" s="16" t="s">
        <v>1433</v>
      </c>
      <c r="B6" s="17">
        <v>61</v>
      </c>
      <c r="C6" s="15" t="s">
        <v>0</v>
      </c>
      <c r="D6" s="263" t="s">
        <v>1434</v>
      </c>
      <c r="E6" s="263"/>
      <c r="F6" s="263"/>
      <c r="G6" s="263"/>
    </row>
    <row r="7" spans="1:17" s="15" customFormat="1" ht="13.8">
      <c r="A7" s="18"/>
      <c r="B7" s="19"/>
      <c r="C7" s="20"/>
      <c r="D7" s="21"/>
      <c r="E7" s="21"/>
      <c r="F7" s="21"/>
      <c r="G7" s="21"/>
    </row>
    <row r="8" spans="1:17" s="15" customFormat="1" ht="12.75" customHeight="1">
      <c r="A8" s="22"/>
      <c r="B8" s="23"/>
      <c r="D8" s="24"/>
      <c r="E8" s="24"/>
      <c r="F8" s="24"/>
      <c r="G8" s="24"/>
      <c r="J8" s="25"/>
    </row>
    <row r="9" spans="1:17" s="15" customFormat="1" ht="13.8">
      <c r="A9" s="16" t="s">
        <v>1435</v>
      </c>
      <c r="B9" s="17">
        <v>58</v>
      </c>
      <c r="C9" s="15" t="s">
        <v>0</v>
      </c>
      <c r="D9" s="262" t="s">
        <v>1436</v>
      </c>
      <c r="E9" s="262"/>
      <c r="F9" s="262"/>
      <c r="G9" s="262"/>
    </row>
    <row r="10" spans="1:17" s="15" customFormat="1" ht="13.8">
      <c r="A10" s="26"/>
      <c r="B10" s="19"/>
      <c r="C10" s="20"/>
      <c r="D10" s="27"/>
      <c r="E10" s="27"/>
      <c r="F10" s="27"/>
      <c r="G10" s="27"/>
    </row>
    <row r="11" spans="1:17" s="15" customFormat="1" ht="13.5" customHeight="1">
      <c r="A11" s="28"/>
      <c r="B11" s="23"/>
      <c r="D11" s="24"/>
      <c r="E11" s="24"/>
      <c r="F11" s="24"/>
      <c r="G11" s="24"/>
    </row>
    <row r="12" spans="1:17" s="15" customFormat="1" ht="12.75" customHeight="1">
      <c r="A12" s="29" t="s">
        <v>1429</v>
      </c>
      <c r="B12" s="17">
        <v>61</v>
      </c>
      <c r="C12" s="15" t="s">
        <v>0</v>
      </c>
      <c r="D12" s="267" t="s">
        <v>1430</v>
      </c>
      <c r="E12" s="262"/>
      <c r="F12" s="262"/>
      <c r="G12" s="262"/>
    </row>
    <row r="13" spans="1:17" s="32" customFormat="1" ht="13.8">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1437</v>
      </c>
      <c r="B15" s="17"/>
      <c r="C15" s="15" t="s">
        <v>0</v>
      </c>
      <c r="D15" s="262" t="s">
        <v>1438</v>
      </c>
      <c r="E15" s="262"/>
      <c r="F15" s="262"/>
      <c r="G15" s="262"/>
    </row>
    <row r="16" spans="1:17" s="15" customFormat="1" ht="13.8">
      <c r="A16" s="30"/>
      <c r="B16" s="36"/>
      <c r="C16" s="37"/>
      <c r="D16" s="27"/>
      <c r="E16" s="27"/>
      <c r="F16" s="27"/>
      <c r="G16" s="27"/>
    </row>
    <row r="17" spans="1:7" s="32" customFormat="1" ht="12.75" customHeight="1">
      <c r="A17" s="38"/>
      <c r="B17" s="34"/>
      <c r="C17" s="35"/>
      <c r="D17" s="24"/>
      <c r="E17" s="24"/>
      <c r="F17" s="24"/>
      <c r="G17" s="24"/>
    </row>
    <row r="18" spans="1:7" s="15" customFormat="1" ht="13.8">
      <c r="A18" s="16" t="s">
        <v>1439</v>
      </c>
      <c r="B18" s="39">
        <v>0.95081967213114749</v>
      </c>
      <c r="D18" s="262" t="s">
        <v>1440</v>
      </c>
      <c r="E18" s="262"/>
      <c r="F18" s="262"/>
      <c r="G18" s="262"/>
    </row>
    <row r="19" spans="1:7" s="15" customFormat="1" ht="13.8">
      <c r="A19" s="40"/>
      <c r="B19" s="36"/>
      <c r="C19" s="37"/>
      <c r="D19" s="27"/>
      <c r="E19" s="27"/>
      <c r="F19" s="27"/>
      <c r="G19" s="27"/>
    </row>
    <row r="20" spans="1:7" s="15" customFormat="1" ht="12.75" customHeight="1">
      <c r="A20" s="41"/>
      <c r="B20" s="11"/>
      <c r="C20" s="12"/>
      <c r="D20" s="24"/>
      <c r="E20" s="24"/>
      <c r="F20" s="24"/>
      <c r="G20" s="24"/>
    </row>
    <row r="21" spans="1:7" s="15" customFormat="1" ht="13.8">
      <c r="A21" s="16" t="s">
        <v>1441</v>
      </c>
      <c r="B21" s="39">
        <v>1</v>
      </c>
      <c r="D21" s="262" t="s">
        <v>1442</v>
      </c>
      <c r="E21" s="262"/>
      <c r="F21" s="262"/>
      <c r="G21" s="262"/>
    </row>
    <row r="22" spans="1:7" s="15" customFormat="1" ht="13.8">
      <c r="A22" s="42"/>
      <c r="B22" s="43"/>
      <c r="C22" s="44"/>
      <c r="D22" s="27"/>
      <c r="E22" s="27"/>
      <c r="F22" s="27"/>
      <c r="G22" s="27"/>
    </row>
    <row r="23" spans="1:7" s="15" customFormat="1" ht="13.5" customHeight="1">
      <c r="A23" s="45"/>
      <c r="B23" s="46"/>
      <c r="C23" s="47"/>
      <c r="D23" s="48"/>
      <c r="E23" s="48"/>
      <c r="F23" s="48"/>
      <c r="G23" s="48"/>
    </row>
    <row r="24" spans="1:7" s="15" customFormat="1" ht="13.8">
      <c r="A24" s="16" t="s">
        <v>1443</v>
      </c>
      <c r="B24" s="49">
        <f>ACTUAL_RATE-PLANNED_RATE</f>
        <v>4.9180327868852514E-2</v>
      </c>
      <c r="D24" s="263" t="s">
        <v>1444</v>
      </c>
      <c r="E24" s="263"/>
      <c r="F24" s="263"/>
      <c r="G24" s="263"/>
    </row>
    <row r="25" spans="1:7" s="15" customFormat="1" ht="13.8">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1" type="noConversion"/>
  <conditionalFormatting sqref="J1">
    <cfRule type="expression" dxfId="1"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O29"/>
  <sheetViews>
    <sheetView showGridLines="0" zoomScale="80" zoomScaleNormal="80" workbookViewId="0">
      <pane ySplit="1" topLeftCell="A2" activePane="bottomLeft" state="frozen"/>
      <selection pane="bottomLeft"/>
    </sheetView>
  </sheetViews>
  <sheetFormatPr defaultColWidth="9.09765625" defaultRowHeight="14.4"/>
  <cols>
    <col min="1" max="1" width="1.59765625" style="73" customWidth="1"/>
    <col min="2" max="3" width="10.59765625" style="73" bestFit="1" customWidth="1"/>
    <col min="4" max="5" width="9.09765625" style="73"/>
    <col min="6" max="6" width="9.09765625" style="204"/>
    <col min="7" max="26" width="9.09765625" style="73"/>
    <col min="27" max="27" width="0" style="73" hidden="1" customWidth="1"/>
    <col min="28" max="16384" width="9.09765625" style="73"/>
  </cols>
  <sheetData>
    <row r="1" spans="2:15" ht="36.9" customHeight="1">
      <c r="B1" s="1" t="s">
        <v>1567</v>
      </c>
    </row>
    <row r="2" spans="2:15">
      <c r="B2" s="73" t="s">
        <v>1568</v>
      </c>
    </row>
    <row r="3" spans="2:15">
      <c r="B3" s="73" t="s">
        <v>1569</v>
      </c>
    </row>
    <row r="4" spans="2:15">
      <c r="B4" s="206">
        <v>20</v>
      </c>
      <c r="C4" s="73" t="s">
        <v>1570</v>
      </c>
    </row>
    <row r="6" spans="2:15" ht="28.8">
      <c r="B6" s="62" t="s">
        <v>1462</v>
      </c>
      <c r="C6" s="72" t="s">
        <v>1463</v>
      </c>
      <c r="D6" s="72" t="s">
        <v>1</v>
      </c>
      <c r="E6" s="72" t="s">
        <v>2</v>
      </c>
      <c r="F6" s="268" t="s">
        <v>1571</v>
      </c>
      <c r="G6" s="269"/>
      <c r="H6" s="269"/>
      <c r="I6" s="269"/>
      <c r="J6" s="269"/>
      <c r="K6" s="269"/>
      <c r="L6" s="269"/>
      <c r="M6" s="269"/>
      <c r="N6" s="269"/>
      <c r="O6" s="269"/>
    </row>
    <row r="7" spans="2:15">
      <c r="B7" s="198">
        <v>44701</v>
      </c>
      <c r="C7" s="198">
        <v>44702</v>
      </c>
      <c r="D7" s="199">
        <v>2</v>
      </c>
      <c r="E7" s="208">
        <f>D7/$B$4</f>
        <v>0.1</v>
      </c>
      <c r="F7" s="209" t="str">
        <f t="shared" ref="F7:F28" si="0">REPT("|",IF(D7&gt;0,IF(D7/1&lt;1,1,D7/1)))</f>
        <v>||</v>
      </c>
      <c r="G7" s="199"/>
      <c r="H7" s="199"/>
      <c r="I7" s="199"/>
      <c r="J7" s="199"/>
      <c r="K7" s="199"/>
      <c r="L7" s="199"/>
      <c r="M7" s="199"/>
      <c r="N7" s="199"/>
      <c r="O7" s="199"/>
    </row>
    <row r="8" spans="2:15">
      <c r="B8" s="200">
        <v>44703</v>
      </c>
      <c r="C8" s="200">
        <v>44709</v>
      </c>
      <c r="D8" s="201">
        <v>8</v>
      </c>
      <c r="E8" s="210">
        <f t="shared" ref="E8:E28" si="1">D8/$B$4</f>
        <v>0.4</v>
      </c>
      <c r="F8" s="211" t="str">
        <f t="shared" si="0"/>
        <v>||||||||</v>
      </c>
      <c r="G8" s="201"/>
      <c r="H8" s="201"/>
      <c r="I8" s="201"/>
      <c r="J8" s="201"/>
      <c r="K8" s="201"/>
      <c r="L8" s="201"/>
      <c r="M8" s="201"/>
      <c r="N8" s="201"/>
      <c r="O8" s="201"/>
    </row>
    <row r="9" spans="2:15">
      <c r="B9" s="200">
        <v>44710</v>
      </c>
      <c r="C9" s="200">
        <v>44716</v>
      </c>
      <c r="D9" s="201">
        <v>15.8</v>
      </c>
      <c r="E9" s="210">
        <f t="shared" si="1"/>
        <v>0.79</v>
      </c>
      <c r="F9" s="211" t="str">
        <f t="shared" si="0"/>
        <v>|||||||||||||||</v>
      </c>
      <c r="G9" s="201"/>
      <c r="H9" s="201"/>
      <c r="I9" s="201"/>
      <c r="J9" s="201"/>
      <c r="K9" s="201"/>
      <c r="L9" s="201"/>
      <c r="M9" s="201"/>
      <c r="N9" s="201"/>
      <c r="O9" s="201"/>
    </row>
    <row r="10" spans="2:15">
      <c r="B10" s="200">
        <v>44717</v>
      </c>
      <c r="C10" s="200">
        <v>44723</v>
      </c>
      <c r="D10" s="201">
        <v>14.8</v>
      </c>
      <c r="E10" s="210">
        <f t="shared" si="1"/>
        <v>0.74</v>
      </c>
      <c r="F10" s="211" t="str">
        <f t="shared" si="0"/>
        <v>||||||||||||||</v>
      </c>
      <c r="G10" s="201"/>
      <c r="H10" s="201"/>
      <c r="I10" s="201"/>
      <c r="J10" s="201"/>
      <c r="K10" s="201"/>
      <c r="L10" s="201"/>
      <c r="M10" s="201"/>
      <c r="N10" s="201"/>
      <c r="O10" s="201"/>
    </row>
    <row r="11" spans="2:15">
      <c r="B11" s="200">
        <v>44724</v>
      </c>
      <c r="C11" s="200">
        <v>44730</v>
      </c>
      <c r="D11" s="201">
        <v>5.8</v>
      </c>
      <c r="E11" s="210">
        <f t="shared" si="1"/>
        <v>0.28999999999999998</v>
      </c>
      <c r="F11" s="211" t="str">
        <f t="shared" si="0"/>
        <v>|||||</v>
      </c>
      <c r="G11" s="201"/>
      <c r="H11" s="201"/>
      <c r="I11" s="201"/>
      <c r="J11" s="201"/>
      <c r="K11" s="201"/>
      <c r="L11" s="201"/>
      <c r="M11" s="201"/>
      <c r="N11" s="201"/>
      <c r="O11" s="201"/>
    </row>
    <row r="12" spans="2:15">
      <c r="B12" s="200">
        <v>44731</v>
      </c>
      <c r="C12" s="200">
        <v>44737</v>
      </c>
      <c r="D12" s="201">
        <v>10</v>
      </c>
      <c r="E12" s="210">
        <f t="shared" si="1"/>
        <v>0.5</v>
      </c>
      <c r="F12" s="211" t="str">
        <f t="shared" si="0"/>
        <v>||||||||||</v>
      </c>
      <c r="G12" s="201"/>
      <c r="H12" s="201"/>
      <c r="I12" s="201"/>
      <c r="J12" s="201"/>
      <c r="K12" s="201"/>
      <c r="L12" s="201"/>
      <c r="M12" s="201"/>
      <c r="N12" s="201"/>
      <c r="O12" s="201"/>
    </row>
    <row r="13" spans="2:15">
      <c r="B13" s="200">
        <v>44738</v>
      </c>
      <c r="C13" s="200">
        <v>44744</v>
      </c>
      <c r="D13" s="201">
        <v>20</v>
      </c>
      <c r="E13" s="210">
        <f t="shared" si="1"/>
        <v>1</v>
      </c>
      <c r="F13" s="211" t="str">
        <f t="shared" si="0"/>
        <v>||||||||||||||||||||</v>
      </c>
      <c r="G13" s="201"/>
      <c r="H13" s="201"/>
      <c r="I13" s="201"/>
      <c r="J13" s="201"/>
      <c r="K13" s="201"/>
      <c r="L13" s="201"/>
      <c r="M13" s="201"/>
      <c r="N13" s="201"/>
      <c r="O13" s="201"/>
    </row>
    <row r="14" spans="2:15">
      <c r="B14" s="200">
        <v>44745</v>
      </c>
      <c r="C14" s="200">
        <v>44751</v>
      </c>
      <c r="D14" s="201">
        <v>10</v>
      </c>
      <c r="E14" s="210">
        <f t="shared" si="1"/>
        <v>0.5</v>
      </c>
      <c r="F14" s="211" t="str">
        <f t="shared" si="0"/>
        <v>||||||||||</v>
      </c>
      <c r="G14" s="201"/>
      <c r="H14" s="201"/>
      <c r="I14" s="201"/>
      <c r="J14" s="201"/>
      <c r="K14" s="201"/>
      <c r="L14" s="201"/>
      <c r="M14" s="201"/>
      <c r="N14" s="201"/>
      <c r="O14" s="201"/>
    </row>
    <row r="15" spans="2:15">
      <c r="B15" s="200">
        <v>44752</v>
      </c>
      <c r="C15" s="200">
        <v>44758</v>
      </c>
      <c r="D15" s="201">
        <v>5</v>
      </c>
      <c r="E15" s="210">
        <f t="shared" si="1"/>
        <v>0.25</v>
      </c>
      <c r="F15" s="211" t="str">
        <f t="shared" si="0"/>
        <v>|||||</v>
      </c>
      <c r="G15" s="201"/>
      <c r="H15" s="201"/>
      <c r="I15" s="201"/>
      <c r="J15" s="201"/>
      <c r="K15" s="201"/>
      <c r="L15" s="201"/>
      <c r="M15" s="201"/>
      <c r="N15" s="201"/>
      <c r="O15" s="201"/>
    </row>
    <row r="16" spans="2:15">
      <c r="B16" s="200">
        <v>44759</v>
      </c>
      <c r="C16" s="200">
        <v>44765</v>
      </c>
      <c r="D16" s="201">
        <v>25</v>
      </c>
      <c r="E16" s="210">
        <f t="shared" si="1"/>
        <v>1.25</v>
      </c>
      <c r="F16" s="211" t="str">
        <f t="shared" si="0"/>
        <v>|||||||||||||||||||||||||</v>
      </c>
      <c r="G16" s="201"/>
      <c r="H16" s="201"/>
      <c r="I16" s="201"/>
      <c r="J16" s="201"/>
      <c r="K16" s="201"/>
      <c r="L16" s="201"/>
      <c r="M16" s="201"/>
      <c r="N16" s="201"/>
      <c r="O16" s="201"/>
    </row>
    <row r="17" spans="2:15">
      <c r="B17" s="200">
        <v>44766</v>
      </c>
      <c r="C17" s="200">
        <v>44772</v>
      </c>
      <c r="D17" s="201">
        <v>15</v>
      </c>
      <c r="E17" s="210">
        <f t="shared" si="1"/>
        <v>0.75</v>
      </c>
      <c r="F17" s="211" t="str">
        <f t="shared" si="0"/>
        <v>|||||||||||||||</v>
      </c>
      <c r="G17" s="201"/>
      <c r="H17" s="201"/>
      <c r="I17" s="201"/>
      <c r="J17" s="201"/>
      <c r="K17" s="201"/>
      <c r="L17" s="201"/>
      <c r="M17" s="201"/>
      <c r="N17" s="201"/>
      <c r="O17" s="201"/>
    </row>
    <row r="18" spans="2:15">
      <c r="B18" s="200">
        <v>44773</v>
      </c>
      <c r="C18" s="200">
        <v>44779</v>
      </c>
      <c r="D18" s="201">
        <v>20</v>
      </c>
      <c r="E18" s="210">
        <f t="shared" si="1"/>
        <v>1</v>
      </c>
      <c r="F18" s="211" t="str">
        <f t="shared" si="0"/>
        <v>||||||||||||||||||||</v>
      </c>
      <c r="G18" s="201"/>
      <c r="H18" s="201"/>
      <c r="I18" s="201"/>
      <c r="J18" s="201"/>
      <c r="K18" s="201"/>
      <c r="L18" s="201"/>
      <c r="M18" s="201"/>
      <c r="N18" s="201"/>
      <c r="O18" s="201"/>
    </row>
    <row r="19" spans="2:15">
      <c r="B19" s="200">
        <v>44780</v>
      </c>
      <c r="C19" s="200">
        <v>44786</v>
      </c>
      <c r="D19" s="201">
        <v>20</v>
      </c>
      <c r="E19" s="210">
        <f t="shared" si="1"/>
        <v>1</v>
      </c>
      <c r="F19" s="211" t="str">
        <f t="shared" si="0"/>
        <v>||||||||||||||||||||</v>
      </c>
      <c r="G19" s="201"/>
      <c r="H19" s="201"/>
      <c r="I19" s="201"/>
      <c r="J19" s="201"/>
      <c r="K19" s="201"/>
      <c r="L19" s="201"/>
      <c r="M19" s="201"/>
      <c r="N19" s="201"/>
      <c r="O19" s="201"/>
    </row>
    <row r="20" spans="2:15">
      <c r="B20" s="200">
        <v>44787</v>
      </c>
      <c r="C20" s="200">
        <v>44793</v>
      </c>
      <c r="D20" s="201">
        <v>16</v>
      </c>
      <c r="E20" s="210">
        <f t="shared" si="1"/>
        <v>0.8</v>
      </c>
      <c r="F20" s="211" t="str">
        <f t="shared" si="0"/>
        <v>||||||||||||||||</v>
      </c>
      <c r="G20" s="201"/>
      <c r="H20" s="201"/>
      <c r="I20" s="201"/>
      <c r="J20" s="201"/>
      <c r="K20" s="201"/>
      <c r="L20" s="201"/>
      <c r="M20" s="201"/>
      <c r="N20" s="201"/>
      <c r="O20" s="201"/>
    </row>
    <row r="21" spans="2:15">
      <c r="B21" s="200">
        <v>44794</v>
      </c>
      <c r="C21" s="200">
        <v>44800</v>
      </c>
      <c r="D21" s="201">
        <v>21</v>
      </c>
      <c r="E21" s="210">
        <f t="shared" si="1"/>
        <v>1.05</v>
      </c>
      <c r="F21" s="211" t="str">
        <f t="shared" si="0"/>
        <v>|||||||||||||||||||||</v>
      </c>
      <c r="G21" s="201"/>
      <c r="H21" s="201"/>
      <c r="I21" s="201"/>
      <c r="J21" s="201"/>
      <c r="K21" s="201"/>
      <c r="L21" s="201"/>
      <c r="M21" s="201"/>
      <c r="N21" s="201"/>
      <c r="O21" s="201"/>
    </row>
    <row r="22" spans="2:15">
      <c r="B22" s="200">
        <v>44801</v>
      </c>
      <c r="C22" s="200">
        <v>44807</v>
      </c>
      <c r="D22" s="201">
        <v>26</v>
      </c>
      <c r="E22" s="210">
        <f t="shared" si="1"/>
        <v>1.3</v>
      </c>
      <c r="F22" s="211" t="str">
        <f t="shared" si="0"/>
        <v>||||||||||||||||||||||||||</v>
      </c>
      <c r="G22" s="201"/>
      <c r="H22" s="201"/>
      <c r="I22" s="201"/>
      <c r="J22" s="201"/>
      <c r="K22" s="201"/>
      <c r="L22" s="201"/>
      <c r="M22" s="201"/>
      <c r="N22" s="201"/>
      <c r="O22" s="201"/>
    </row>
    <row r="23" spans="2:15">
      <c r="B23" s="200">
        <v>44808</v>
      </c>
      <c r="C23" s="200">
        <v>44814</v>
      </c>
      <c r="D23" s="201">
        <v>17.8</v>
      </c>
      <c r="E23" s="210">
        <f t="shared" si="1"/>
        <v>0.89</v>
      </c>
      <c r="F23" s="211" t="str">
        <f t="shared" si="0"/>
        <v>|||||||||||||||||</v>
      </c>
      <c r="G23" s="201"/>
      <c r="H23" s="201"/>
      <c r="I23" s="201"/>
      <c r="J23" s="201"/>
      <c r="K23" s="201"/>
      <c r="L23" s="201"/>
      <c r="M23" s="201"/>
      <c r="N23" s="201"/>
      <c r="O23" s="201"/>
    </row>
    <row r="24" spans="2:15">
      <c r="B24" s="200">
        <v>44815</v>
      </c>
      <c r="C24" s="200">
        <v>44821</v>
      </c>
      <c r="D24" s="201">
        <v>13.6</v>
      </c>
      <c r="E24" s="210">
        <f t="shared" si="1"/>
        <v>0.67999999999999994</v>
      </c>
      <c r="F24" s="211" t="str">
        <f t="shared" si="0"/>
        <v>|||||||||||||</v>
      </c>
      <c r="G24" s="201"/>
      <c r="H24" s="201"/>
      <c r="I24" s="201"/>
      <c r="J24" s="201"/>
      <c r="K24" s="201"/>
      <c r="L24" s="201"/>
      <c r="M24" s="201"/>
      <c r="N24" s="201"/>
      <c r="O24" s="201"/>
    </row>
    <row r="25" spans="2:15">
      <c r="B25" s="200">
        <v>44822</v>
      </c>
      <c r="C25" s="200">
        <v>44828</v>
      </c>
      <c r="D25" s="201">
        <v>11</v>
      </c>
      <c r="E25" s="210">
        <f t="shared" si="1"/>
        <v>0.55000000000000004</v>
      </c>
      <c r="F25" s="211" t="str">
        <f t="shared" si="0"/>
        <v>|||||||||||</v>
      </c>
      <c r="G25" s="201"/>
      <c r="H25" s="201"/>
      <c r="I25" s="201"/>
      <c r="J25" s="201"/>
      <c r="K25" s="201"/>
      <c r="L25" s="201"/>
      <c r="M25" s="201"/>
      <c r="N25" s="201"/>
      <c r="O25" s="201"/>
    </row>
    <row r="26" spans="2:15">
      <c r="B26" s="200">
        <v>44829</v>
      </c>
      <c r="C26" s="200">
        <v>44835</v>
      </c>
      <c r="D26" s="201">
        <v>12</v>
      </c>
      <c r="E26" s="210">
        <f t="shared" si="1"/>
        <v>0.6</v>
      </c>
      <c r="F26" s="211" t="str">
        <f t="shared" si="0"/>
        <v>||||||||||||</v>
      </c>
      <c r="G26" s="201"/>
      <c r="H26" s="201"/>
      <c r="I26" s="201"/>
      <c r="J26" s="201"/>
      <c r="K26" s="201"/>
      <c r="L26" s="201"/>
      <c r="M26" s="201"/>
      <c r="N26" s="201"/>
      <c r="O26" s="201"/>
    </row>
    <row r="27" spans="2:15">
      <c r="B27" s="200">
        <v>44836</v>
      </c>
      <c r="C27" s="200">
        <v>44842</v>
      </c>
      <c r="D27" s="201">
        <v>4</v>
      </c>
      <c r="E27" s="210">
        <f t="shared" si="1"/>
        <v>0.2</v>
      </c>
      <c r="F27" s="211" t="str">
        <f t="shared" si="0"/>
        <v>||||</v>
      </c>
      <c r="G27" s="201"/>
      <c r="H27" s="201"/>
      <c r="I27" s="201"/>
      <c r="J27" s="201"/>
      <c r="K27" s="201"/>
      <c r="L27" s="201"/>
      <c r="M27" s="201"/>
      <c r="N27" s="201"/>
      <c r="O27" s="201"/>
    </row>
    <row r="28" spans="2:15">
      <c r="B28" s="200">
        <v>44850</v>
      </c>
      <c r="C28" s="200">
        <v>44856</v>
      </c>
      <c r="D28" s="201">
        <v>2</v>
      </c>
      <c r="E28" s="210">
        <f t="shared" si="1"/>
        <v>0.1</v>
      </c>
      <c r="F28" s="211" t="str">
        <f t="shared" si="0"/>
        <v>||</v>
      </c>
      <c r="G28" s="201"/>
      <c r="H28" s="201"/>
      <c r="I28" s="201"/>
      <c r="J28" s="201"/>
      <c r="K28" s="201"/>
      <c r="L28" s="201"/>
      <c r="M28" s="201"/>
      <c r="N28" s="201"/>
      <c r="O28" s="201"/>
    </row>
    <row r="29" spans="2:15">
      <c r="C29" s="73" t="s">
        <v>1376</v>
      </c>
      <c r="D29" s="73">
        <f>SUM(D7:D28)</f>
        <v>294.8</v>
      </c>
      <c r="E29" s="207">
        <f>D29/$B$4</f>
        <v>14.74</v>
      </c>
    </row>
  </sheetData>
  <dataConsolidate/>
  <mergeCells count="1">
    <mergeCell ref="F6:O6"/>
  </mergeCells>
  <phoneticPr fontId="1" type="noConversion"/>
  <pageMargins left="0.7" right="0.7" top="0.75" bottom="0.75" header="0.3" footer="0.3"/>
  <pageSetup paperSize="9"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B10" sqref="B10"/>
    </sheetView>
  </sheetViews>
  <sheetFormatPr defaultColWidth="10" defaultRowHeight="14.4"/>
  <cols>
    <col min="1" max="1" width="31.59765625" style="63" customWidth="1"/>
    <col min="2" max="2" width="14.5" style="63" customWidth="1"/>
    <col min="3" max="3" width="7.59765625" style="63" customWidth="1"/>
    <col min="4" max="4" width="21.5" style="63" customWidth="1"/>
    <col min="5" max="5" width="14.09765625" style="63" customWidth="1"/>
    <col min="6" max="6" width="10" style="63"/>
    <col min="7" max="7" width="24.19921875" style="63" customWidth="1"/>
    <col min="8" max="8" width="18.3984375" style="63" bestFit="1" customWidth="1"/>
    <col min="9" max="9" width="11.09765625" style="63" bestFit="1" customWidth="1"/>
    <col min="10" max="10" width="27.3984375" style="63" bestFit="1" customWidth="1"/>
    <col min="11" max="19" width="10" style="63"/>
    <col min="20" max="23" width="10" style="63" customWidth="1"/>
    <col min="24" max="26" width="10" style="63"/>
    <col min="27" max="27" width="0" style="63" hidden="1" customWidth="1"/>
    <col min="28" max="16384" width="10" style="63"/>
  </cols>
  <sheetData>
    <row r="1" spans="1:9" ht="36.9" customHeight="1">
      <c r="A1" s="1" t="s">
        <v>1465</v>
      </c>
      <c r="B1" s="1"/>
      <c r="C1" s="1"/>
      <c r="D1" s="1"/>
      <c r="E1" s="1"/>
      <c r="F1" s="1"/>
      <c r="G1" s="1"/>
      <c r="H1" s="1"/>
    </row>
    <row r="2" spans="1:9" s="64" customFormat="1" ht="78.75" customHeight="1">
      <c r="A2" s="270" t="s">
        <v>1466</v>
      </c>
      <c r="B2" s="270"/>
      <c r="C2" s="270"/>
      <c r="D2" s="270"/>
      <c r="E2" s="270"/>
      <c r="F2" s="270"/>
      <c r="G2" s="270"/>
      <c r="H2" s="270"/>
    </row>
    <row r="3" spans="1:9" s="64" customFormat="1" ht="24.75" customHeight="1">
      <c r="A3" s="271" t="s">
        <v>1467</v>
      </c>
      <c r="B3" s="271"/>
      <c r="D3" s="271" t="s">
        <v>1468</v>
      </c>
      <c r="E3" s="271"/>
      <c r="G3" s="271" t="s">
        <v>1469</v>
      </c>
      <c r="H3" s="271"/>
    </row>
    <row r="4" spans="1:9" s="66" customFormat="1" ht="19.5" customHeight="1">
      <c r="A4" s="65" t="s">
        <v>1470</v>
      </c>
      <c r="B4" s="65" t="s">
        <v>1471</v>
      </c>
      <c r="D4" s="65" t="s">
        <v>1470</v>
      </c>
      <c r="E4" s="65" t="s">
        <v>1471</v>
      </c>
      <c r="G4" s="65" t="s">
        <v>1470</v>
      </c>
      <c r="H4" s="65" t="s">
        <v>1471</v>
      </c>
    </row>
    <row r="5" spans="1:9" s="76" customFormat="1" ht="17.399999999999999">
      <c r="A5" s="74"/>
      <c r="B5" s="75"/>
      <c r="D5" s="74"/>
      <c r="E5" s="75"/>
      <c r="F5" s="76" t="str">
        <f t="shared" ref="F5:F68" si="0">IF(E5&gt;0,TEXT(E5,"(aaa)"),"")</f>
        <v/>
      </c>
      <c r="G5" s="74"/>
      <c r="H5" s="75"/>
      <c r="I5" s="76" t="str">
        <f t="shared" ref="I5:I68" si="1">IF(H5&gt;0,TEXT(H5,"(aaa)"),"")</f>
        <v/>
      </c>
    </row>
    <row r="6" spans="1:9" s="76" customFormat="1" ht="17.399999999999999">
      <c r="A6" s="74"/>
      <c r="B6" s="75"/>
      <c r="D6" s="74"/>
      <c r="E6" s="75"/>
      <c r="F6" s="76" t="str">
        <f t="shared" si="0"/>
        <v/>
      </c>
      <c r="G6" s="74"/>
      <c r="H6" s="75"/>
      <c r="I6" s="76" t="str">
        <f t="shared" si="1"/>
        <v/>
      </c>
    </row>
    <row r="7" spans="1:9" s="76" customFormat="1" ht="17.399999999999999">
      <c r="A7" s="74"/>
      <c r="B7" s="75"/>
      <c r="D7" s="74"/>
      <c r="E7" s="75"/>
      <c r="F7" s="76" t="str">
        <f t="shared" si="0"/>
        <v/>
      </c>
      <c r="G7" s="74"/>
      <c r="H7" s="75"/>
      <c r="I7" s="76" t="str">
        <f t="shared" si="1"/>
        <v/>
      </c>
    </row>
    <row r="8" spans="1:9" s="76" customFormat="1" ht="17.399999999999999">
      <c r="A8" s="74"/>
      <c r="B8" s="75"/>
      <c r="D8" s="74"/>
      <c r="E8" s="75"/>
      <c r="F8" s="76" t="str">
        <f t="shared" si="0"/>
        <v/>
      </c>
      <c r="G8" s="74"/>
      <c r="H8" s="75"/>
      <c r="I8" s="76" t="str">
        <f t="shared" si="1"/>
        <v/>
      </c>
    </row>
    <row r="9" spans="1:9" s="76" customFormat="1" ht="17.399999999999999">
      <c r="A9" s="74"/>
      <c r="B9" s="75"/>
      <c r="D9" s="74"/>
      <c r="E9" s="75"/>
      <c r="F9" s="76" t="str">
        <f t="shared" si="0"/>
        <v/>
      </c>
      <c r="G9" s="74"/>
      <c r="H9" s="75"/>
      <c r="I9" s="76" t="str">
        <f t="shared" si="1"/>
        <v/>
      </c>
    </row>
    <row r="10" spans="1:9" s="76" customFormat="1" ht="17.399999999999999">
      <c r="A10" s="74"/>
      <c r="B10" s="75"/>
      <c r="D10" s="74"/>
      <c r="E10" s="75"/>
      <c r="F10" s="76" t="str">
        <f t="shared" si="0"/>
        <v/>
      </c>
      <c r="G10" s="74"/>
      <c r="H10" s="75"/>
      <c r="I10" s="76" t="str">
        <f t="shared" si="1"/>
        <v/>
      </c>
    </row>
    <row r="11" spans="1:9" s="76" customFormat="1" ht="17.399999999999999">
      <c r="A11" s="74"/>
      <c r="B11" s="75"/>
      <c r="D11" s="74"/>
      <c r="E11" s="75"/>
      <c r="F11" s="76" t="str">
        <f t="shared" si="0"/>
        <v/>
      </c>
      <c r="G11" s="74"/>
      <c r="H11" s="75"/>
      <c r="I11" s="76" t="str">
        <f t="shared" si="1"/>
        <v/>
      </c>
    </row>
    <row r="12" spans="1:9" s="76" customFormat="1" ht="17.399999999999999">
      <c r="A12" s="74"/>
      <c r="B12" s="75"/>
      <c r="D12" s="74"/>
      <c r="E12" s="75"/>
      <c r="F12" s="76" t="str">
        <f t="shared" si="0"/>
        <v/>
      </c>
      <c r="G12" s="74"/>
      <c r="H12" s="75"/>
      <c r="I12" s="76" t="str">
        <f t="shared" si="1"/>
        <v/>
      </c>
    </row>
    <row r="13" spans="1:9" s="76" customFormat="1" ht="17.399999999999999">
      <c r="A13" s="74"/>
      <c r="B13" s="75"/>
      <c r="D13" s="74"/>
      <c r="E13" s="75"/>
      <c r="F13" s="76" t="str">
        <f t="shared" si="0"/>
        <v/>
      </c>
      <c r="G13" s="74"/>
      <c r="H13" s="75"/>
      <c r="I13" s="76" t="str">
        <f t="shared" si="1"/>
        <v/>
      </c>
    </row>
    <row r="14" spans="1:9" s="76" customFormat="1" ht="17.399999999999999">
      <c r="A14" s="74"/>
      <c r="B14" s="75"/>
      <c r="D14" s="74"/>
      <c r="E14" s="75"/>
      <c r="F14" s="76" t="str">
        <f t="shared" si="0"/>
        <v/>
      </c>
      <c r="G14" s="74"/>
      <c r="H14" s="75"/>
      <c r="I14" s="76" t="str">
        <f t="shared" si="1"/>
        <v/>
      </c>
    </row>
    <row r="15" spans="1:9" s="76" customFormat="1" ht="17.399999999999999">
      <c r="A15" s="74"/>
      <c r="B15" s="75"/>
      <c r="D15" s="74"/>
      <c r="E15" s="75"/>
      <c r="F15" s="76" t="str">
        <f t="shared" si="0"/>
        <v/>
      </c>
      <c r="G15" s="74"/>
      <c r="H15" s="75"/>
      <c r="I15" s="76" t="str">
        <f t="shared" si="1"/>
        <v/>
      </c>
    </row>
    <row r="16" spans="1:9" s="76" customFormat="1" ht="17.399999999999999">
      <c r="A16" s="74"/>
      <c r="B16" s="75"/>
      <c r="D16" s="74"/>
      <c r="E16" s="75"/>
      <c r="F16" s="76" t="str">
        <f t="shared" si="0"/>
        <v/>
      </c>
      <c r="G16" s="74"/>
      <c r="H16" s="75"/>
      <c r="I16" s="76" t="str">
        <f t="shared" si="1"/>
        <v/>
      </c>
    </row>
    <row r="17" spans="1:10" s="76" customFormat="1" ht="17.399999999999999">
      <c r="A17" s="74"/>
      <c r="B17" s="75"/>
      <c r="D17" s="74"/>
      <c r="E17" s="75"/>
      <c r="F17" s="76" t="str">
        <f t="shared" si="0"/>
        <v/>
      </c>
      <c r="G17" s="74"/>
      <c r="H17" s="75"/>
      <c r="I17" s="76" t="str">
        <f t="shared" si="1"/>
        <v/>
      </c>
    </row>
    <row r="18" spans="1:10" s="76" customFormat="1" ht="17.399999999999999">
      <c r="A18" s="74"/>
      <c r="B18" s="75"/>
      <c r="D18" s="74"/>
      <c r="E18" s="75"/>
      <c r="F18" s="76" t="str">
        <f t="shared" si="0"/>
        <v/>
      </c>
      <c r="G18" s="74"/>
      <c r="H18" s="75"/>
      <c r="I18" s="76" t="str">
        <f t="shared" si="1"/>
        <v/>
      </c>
    </row>
    <row r="19" spans="1:10" s="76" customFormat="1" ht="19.2">
      <c r="A19" s="74"/>
      <c r="B19" s="75"/>
      <c r="C19" s="76" t="str">
        <f t="shared" ref="C19:C68" si="2">IF(B19&gt;0,TEXT(B19,"(aaa)"),"")</f>
        <v/>
      </c>
      <c r="D19" s="74"/>
      <c r="E19" s="75"/>
      <c r="F19" s="76" t="str">
        <f t="shared" si="0"/>
        <v/>
      </c>
      <c r="G19" s="74"/>
      <c r="H19" s="75"/>
      <c r="I19" s="76" t="str">
        <f t="shared" si="1"/>
        <v/>
      </c>
      <c r="J19" s="77"/>
    </row>
    <row r="20" spans="1:10" s="76" customFormat="1" ht="19.2">
      <c r="A20" s="74"/>
      <c r="B20" s="75"/>
      <c r="C20" s="76" t="str">
        <f t="shared" si="2"/>
        <v/>
      </c>
      <c r="D20" s="74"/>
      <c r="E20" s="75"/>
      <c r="F20" s="76" t="str">
        <f t="shared" si="0"/>
        <v/>
      </c>
      <c r="G20" s="74"/>
      <c r="H20" s="75"/>
      <c r="I20" s="76" t="str">
        <f t="shared" si="1"/>
        <v/>
      </c>
      <c r="J20" s="77"/>
    </row>
    <row r="21" spans="1:10" s="76" customFormat="1" ht="17.399999999999999">
      <c r="A21" s="74"/>
      <c r="B21" s="75"/>
      <c r="C21" s="76" t="str">
        <f t="shared" si="2"/>
        <v/>
      </c>
      <c r="D21" s="74"/>
      <c r="E21" s="75"/>
      <c r="F21" s="76" t="str">
        <f t="shared" si="0"/>
        <v/>
      </c>
      <c r="G21" s="74"/>
      <c r="H21" s="75"/>
      <c r="I21" s="76" t="str">
        <f t="shared" si="1"/>
        <v/>
      </c>
    </row>
    <row r="22" spans="1:10" s="76" customFormat="1" ht="17.399999999999999">
      <c r="A22" s="74"/>
      <c r="B22" s="75"/>
      <c r="C22" s="76" t="str">
        <f t="shared" si="2"/>
        <v/>
      </c>
      <c r="D22" s="74"/>
      <c r="E22" s="75"/>
      <c r="F22" s="76" t="str">
        <f t="shared" si="0"/>
        <v/>
      </c>
      <c r="G22" s="74"/>
      <c r="H22" s="75"/>
      <c r="I22" s="76" t="str">
        <f t="shared" si="1"/>
        <v/>
      </c>
    </row>
    <row r="23" spans="1:10" s="76" customFormat="1" ht="17.399999999999999">
      <c r="A23" s="74"/>
      <c r="B23" s="75"/>
      <c r="C23" s="76" t="str">
        <f t="shared" si="2"/>
        <v/>
      </c>
      <c r="D23" s="74"/>
      <c r="E23" s="75"/>
      <c r="F23" s="76" t="str">
        <f t="shared" si="0"/>
        <v/>
      </c>
      <c r="G23" s="74"/>
      <c r="H23" s="75"/>
      <c r="I23" s="76" t="str">
        <f t="shared" si="1"/>
        <v/>
      </c>
    </row>
    <row r="24" spans="1:10" s="76" customFormat="1" ht="17.399999999999999">
      <c r="A24" s="74"/>
      <c r="B24" s="75"/>
      <c r="C24" s="76" t="str">
        <f t="shared" si="2"/>
        <v/>
      </c>
      <c r="D24" s="74"/>
      <c r="E24" s="75"/>
      <c r="F24" s="76" t="str">
        <f t="shared" si="0"/>
        <v/>
      </c>
      <c r="G24" s="74"/>
      <c r="H24" s="75"/>
      <c r="I24" s="76" t="str">
        <f t="shared" si="1"/>
        <v/>
      </c>
    </row>
    <row r="25" spans="1:10" s="76" customFormat="1" ht="17.399999999999999">
      <c r="A25" s="74"/>
      <c r="B25" s="75"/>
      <c r="C25" s="76" t="str">
        <f t="shared" si="2"/>
        <v/>
      </c>
      <c r="D25" s="74"/>
      <c r="E25" s="75"/>
      <c r="F25" s="76" t="str">
        <f t="shared" si="0"/>
        <v/>
      </c>
      <c r="G25" s="74"/>
      <c r="H25" s="75"/>
      <c r="I25" s="76" t="str">
        <f t="shared" si="1"/>
        <v/>
      </c>
    </row>
    <row r="26" spans="1:10" s="76" customFormat="1" ht="17.399999999999999">
      <c r="A26" s="74"/>
      <c r="B26" s="75"/>
      <c r="C26" s="76" t="str">
        <f t="shared" si="2"/>
        <v/>
      </c>
      <c r="D26" s="74"/>
      <c r="E26" s="75"/>
      <c r="F26" s="76" t="str">
        <f t="shared" si="0"/>
        <v/>
      </c>
      <c r="G26" s="74"/>
      <c r="H26" s="75"/>
      <c r="I26" s="76" t="str">
        <f t="shared" si="1"/>
        <v/>
      </c>
    </row>
    <row r="27" spans="1:10" s="76" customFormat="1" ht="17.399999999999999">
      <c r="A27" s="74"/>
      <c r="B27" s="75"/>
      <c r="C27" s="76" t="str">
        <f t="shared" si="2"/>
        <v/>
      </c>
      <c r="D27" s="74"/>
      <c r="E27" s="75"/>
      <c r="F27" s="76" t="str">
        <f t="shared" si="0"/>
        <v/>
      </c>
      <c r="G27" s="74"/>
      <c r="H27" s="75"/>
      <c r="I27" s="76" t="str">
        <f t="shared" si="1"/>
        <v/>
      </c>
    </row>
    <row r="28" spans="1:10" s="76" customFormat="1" ht="17.399999999999999">
      <c r="A28" s="74"/>
      <c r="B28" s="75"/>
      <c r="C28" s="76" t="str">
        <f t="shared" si="2"/>
        <v/>
      </c>
      <c r="D28" s="74"/>
      <c r="E28" s="75"/>
      <c r="F28" s="76" t="str">
        <f t="shared" si="0"/>
        <v/>
      </c>
      <c r="G28" s="74"/>
      <c r="H28" s="75"/>
      <c r="I28" s="76" t="str">
        <f t="shared" si="1"/>
        <v/>
      </c>
    </row>
    <row r="29" spans="1:10" s="76" customFormat="1" ht="17.399999999999999">
      <c r="A29" s="74"/>
      <c r="B29" s="75"/>
      <c r="C29" s="76" t="str">
        <f t="shared" si="2"/>
        <v/>
      </c>
      <c r="D29" s="74"/>
      <c r="E29" s="75"/>
      <c r="F29" s="76" t="str">
        <f t="shared" si="0"/>
        <v/>
      </c>
      <c r="G29" s="74"/>
      <c r="H29" s="75"/>
      <c r="I29" s="76" t="str">
        <f t="shared" si="1"/>
        <v/>
      </c>
    </row>
    <row r="30" spans="1:10" s="76" customFormat="1" ht="17.399999999999999">
      <c r="A30" s="74"/>
      <c r="B30" s="75"/>
      <c r="C30" s="76" t="str">
        <f t="shared" si="2"/>
        <v/>
      </c>
      <c r="D30" s="74"/>
      <c r="E30" s="75"/>
      <c r="F30" s="76" t="str">
        <f t="shared" si="0"/>
        <v/>
      </c>
      <c r="G30" s="74"/>
      <c r="H30" s="75"/>
      <c r="I30" s="76" t="str">
        <f t="shared" si="1"/>
        <v/>
      </c>
    </row>
    <row r="31" spans="1:10" s="76" customFormat="1" ht="17.399999999999999">
      <c r="A31" s="74"/>
      <c r="B31" s="75"/>
      <c r="C31" s="76" t="str">
        <f t="shared" si="2"/>
        <v/>
      </c>
      <c r="D31" s="74"/>
      <c r="E31" s="75"/>
      <c r="F31" s="76" t="str">
        <f t="shared" si="0"/>
        <v/>
      </c>
      <c r="G31" s="74"/>
      <c r="H31" s="75"/>
      <c r="I31" s="76" t="str">
        <f t="shared" si="1"/>
        <v/>
      </c>
    </row>
    <row r="32" spans="1:10" s="76" customFormat="1" ht="17.399999999999999">
      <c r="A32" s="74"/>
      <c r="B32" s="75"/>
      <c r="C32" s="76" t="str">
        <f t="shared" si="2"/>
        <v/>
      </c>
      <c r="D32" s="74"/>
      <c r="E32" s="75"/>
      <c r="F32" s="76" t="str">
        <f t="shared" si="0"/>
        <v/>
      </c>
      <c r="G32" s="74"/>
      <c r="H32" s="75"/>
      <c r="I32" s="76" t="str">
        <f t="shared" si="1"/>
        <v/>
      </c>
    </row>
    <row r="33" spans="1:9" s="76" customFormat="1" ht="17.399999999999999">
      <c r="A33" s="74"/>
      <c r="B33" s="75"/>
      <c r="C33" s="76" t="str">
        <f t="shared" si="2"/>
        <v/>
      </c>
      <c r="D33" s="74"/>
      <c r="E33" s="75"/>
      <c r="F33" s="76" t="str">
        <f t="shared" si="0"/>
        <v/>
      </c>
      <c r="G33" s="74"/>
      <c r="H33" s="75"/>
      <c r="I33" s="76" t="str">
        <f t="shared" si="1"/>
        <v/>
      </c>
    </row>
    <row r="34" spans="1:9" s="76" customFormat="1" ht="17.399999999999999">
      <c r="A34" s="74"/>
      <c r="B34" s="75"/>
      <c r="C34" s="76" t="str">
        <f t="shared" si="2"/>
        <v/>
      </c>
      <c r="D34" s="74"/>
      <c r="E34" s="75"/>
      <c r="F34" s="76" t="str">
        <f t="shared" si="0"/>
        <v/>
      </c>
      <c r="G34" s="74"/>
      <c r="H34" s="75"/>
      <c r="I34" s="76" t="str">
        <f t="shared" si="1"/>
        <v/>
      </c>
    </row>
    <row r="35" spans="1:9" s="76" customFormat="1" ht="17.399999999999999">
      <c r="A35" s="74"/>
      <c r="B35" s="75"/>
      <c r="C35" s="76" t="str">
        <f t="shared" si="2"/>
        <v/>
      </c>
      <c r="D35" s="74"/>
      <c r="E35" s="75"/>
      <c r="F35" s="76" t="str">
        <f t="shared" si="0"/>
        <v/>
      </c>
      <c r="G35" s="74"/>
      <c r="H35" s="75"/>
      <c r="I35" s="76" t="str">
        <f t="shared" si="1"/>
        <v/>
      </c>
    </row>
    <row r="36" spans="1:9" s="76" customFormat="1" ht="17.399999999999999">
      <c r="A36" s="74"/>
      <c r="B36" s="75"/>
      <c r="C36" s="76" t="str">
        <f t="shared" si="2"/>
        <v/>
      </c>
      <c r="D36" s="74"/>
      <c r="E36" s="75"/>
      <c r="F36" s="76" t="str">
        <f t="shared" si="0"/>
        <v/>
      </c>
      <c r="G36" s="74"/>
      <c r="H36" s="75"/>
      <c r="I36" s="76" t="str">
        <f t="shared" si="1"/>
        <v/>
      </c>
    </row>
    <row r="37" spans="1:9" s="76" customFormat="1" ht="17.399999999999999">
      <c r="A37" s="74"/>
      <c r="B37" s="75"/>
      <c r="C37" s="76" t="str">
        <f t="shared" si="2"/>
        <v/>
      </c>
      <c r="D37" s="74"/>
      <c r="E37" s="75"/>
      <c r="F37" s="76" t="str">
        <f t="shared" si="0"/>
        <v/>
      </c>
      <c r="G37" s="74"/>
      <c r="H37" s="75"/>
      <c r="I37" s="76" t="str">
        <f t="shared" si="1"/>
        <v/>
      </c>
    </row>
    <row r="38" spans="1:9" s="76" customFormat="1" ht="17.399999999999999">
      <c r="A38" s="74"/>
      <c r="B38" s="75"/>
      <c r="C38" s="76" t="str">
        <f t="shared" si="2"/>
        <v/>
      </c>
      <c r="D38" s="74"/>
      <c r="E38" s="75"/>
      <c r="F38" s="76" t="str">
        <f t="shared" si="0"/>
        <v/>
      </c>
      <c r="G38" s="74"/>
      <c r="H38" s="75"/>
      <c r="I38" s="76" t="str">
        <f t="shared" si="1"/>
        <v/>
      </c>
    </row>
    <row r="39" spans="1:9" s="76" customFormat="1" ht="17.399999999999999">
      <c r="A39" s="74"/>
      <c r="B39" s="75"/>
      <c r="C39" s="76" t="str">
        <f t="shared" si="2"/>
        <v/>
      </c>
      <c r="D39" s="74"/>
      <c r="E39" s="75"/>
      <c r="F39" s="76" t="str">
        <f t="shared" si="0"/>
        <v/>
      </c>
      <c r="G39" s="74"/>
      <c r="H39" s="75"/>
      <c r="I39" s="76" t="str">
        <f t="shared" si="1"/>
        <v/>
      </c>
    </row>
    <row r="40" spans="1:9" s="76" customFormat="1" ht="17.399999999999999">
      <c r="A40" s="74"/>
      <c r="B40" s="75"/>
      <c r="C40" s="76" t="str">
        <f t="shared" si="2"/>
        <v/>
      </c>
      <c r="D40" s="74"/>
      <c r="E40" s="75"/>
      <c r="F40" s="76" t="str">
        <f t="shared" si="0"/>
        <v/>
      </c>
      <c r="G40" s="74"/>
      <c r="H40" s="75"/>
      <c r="I40" s="76" t="str">
        <f t="shared" si="1"/>
        <v/>
      </c>
    </row>
    <row r="41" spans="1:9" s="76" customFormat="1" ht="17.399999999999999">
      <c r="A41" s="74"/>
      <c r="B41" s="75"/>
      <c r="C41" s="76" t="str">
        <f t="shared" si="2"/>
        <v/>
      </c>
      <c r="D41" s="74"/>
      <c r="E41" s="75"/>
      <c r="F41" s="76" t="str">
        <f t="shared" si="0"/>
        <v/>
      </c>
      <c r="G41" s="74"/>
      <c r="H41" s="75"/>
      <c r="I41" s="76" t="str">
        <f t="shared" si="1"/>
        <v/>
      </c>
    </row>
    <row r="42" spans="1:9" s="76" customFormat="1" ht="17.399999999999999">
      <c r="A42" s="74"/>
      <c r="B42" s="75"/>
      <c r="C42" s="76" t="str">
        <f t="shared" si="2"/>
        <v/>
      </c>
      <c r="D42" s="74"/>
      <c r="E42" s="75"/>
      <c r="F42" s="76" t="str">
        <f t="shared" si="0"/>
        <v/>
      </c>
      <c r="G42" s="74"/>
      <c r="H42" s="75"/>
      <c r="I42" s="76" t="str">
        <f t="shared" si="1"/>
        <v/>
      </c>
    </row>
    <row r="43" spans="1:9" s="76" customFormat="1" ht="17.399999999999999">
      <c r="A43" s="74"/>
      <c r="B43" s="75"/>
      <c r="C43" s="76" t="str">
        <f t="shared" si="2"/>
        <v/>
      </c>
      <c r="D43" s="74"/>
      <c r="E43" s="75"/>
      <c r="F43" s="76" t="str">
        <f t="shared" si="0"/>
        <v/>
      </c>
      <c r="G43" s="74"/>
      <c r="H43" s="75"/>
      <c r="I43" s="76" t="str">
        <f t="shared" si="1"/>
        <v/>
      </c>
    </row>
    <row r="44" spans="1:9" s="76" customFormat="1" ht="17.399999999999999">
      <c r="A44" s="74"/>
      <c r="B44" s="75"/>
      <c r="C44" s="76" t="str">
        <f t="shared" si="2"/>
        <v/>
      </c>
      <c r="D44" s="74"/>
      <c r="E44" s="75"/>
      <c r="F44" s="76" t="str">
        <f t="shared" si="0"/>
        <v/>
      </c>
      <c r="G44" s="74"/>
      <c r="H44" s="75"/>
      <c r="I44" s="76" t="str">
        <f t="shared" si="1"/>
        <v/>
      </c>
    </row>
    <row r="45" spans="1:9" s="76" customFormat="1" ht="17.399999999999999">
      <c r="A45" s="74"/>
      <c r="B45" s="75"/>
      <c r="C45" s="76" t="str">
        <f t="shared" si="2"/>
        <v/>
      </c>
      <c r="D45" s="74"/>
      <c r="E45" s="75"/>
      <c r="F45" s="76" t="str">
        <f t="shared" si="0"/>
        <v/>
      </c>
      <c r="G45" s="74"/>
      <c r="H45" s="75"/>
      <c r="I45" s="76" t="str">
        <f t="shared" si="1"/>
        <v/>
      </c>
    </row>
    <row r="46" spans="1:9" s="76" customFormat="1" ht="17.399999999999999">
      <c r="A46" s="74"/>
      <c r="B46" s="75"/>
      <c r="C46" s="76" t="str">
        <f t="shared" si="2"/>
        <v/>
      </c>
      <c r="D46" s="74"/>
      <c r="E46" s="75"/>
      <c r="F46" s="76" t="str">
        <f t="shared" si="0"/>
        <v/>
      </c>
      <c r="G46" s="74"/>
      <c r="H46" s="75"/>
      <c r="I46" s="76" t="str">
        <f t="shared" si="1"/>
        <v/>
      </c>
    </row>
    <row r="47" spans="1:9" s="76" customFormat="1" ht="17.399999999999999">
      <c r="A47" s="74"/>
      <c r="B47" s="75"/>
      <c r="C47" s="76" t="str">
        <f t="shared" si="2"/>
        <v/>
      </c>
      <c r="D47" s="74"/>
      <c r="E47" s="75"/>
      <c r="F47" s="76" t="str">
        <f t="shared" si="0"/>
        <v/>
      </c>
      <c r="G47" s="74"/>
      <c r="H47" s="75"/>
      <c r="I47" s="76" t="str">
        <f t="shared" si="1"/>
        <v/>
      </c>
    </row>
    <row r="48" spans="1:9" s="76" customFormat="1" ht="17.399999999999999">
      <c r="A48" s="74"/>
      <c r="B48" s="75"/>
      <c r="C48" s="76" t="str">
        <f t="shared" si="2"/>
        <v/>
      </c>
      <c r="D48" s="74"/>
      <c r="E48" s="75"/>
      <c r="F48" s="76" t="str">
        <f t="shared" si="0"/>
        <v/>
      </c>
      <c r="G48" s="74"/>
      <c r="H48" s="75"/>
      <c r="I48" s="76" t="str">
        <f t="shared" si="1"/>
        <v/>
      </c>
    </row>
    <row r="49" spans="1:9" s="76" customFormat="1" ht="17.399999999999999">
      <c r="A49" s="74"/>
      <c r="B49" s="75"/>
      <c r="C49" s="76" t="str">
        <f t="shared" si="2"/>
        <v/>
      </c>
      <c r="D49" s="74"/>
      <c r="E49" s="75"/>
      <c r="F49" s="76" t="str">
        <f t="shared" si="0"/>
        <v/>
      </c>
      <c r="G49" s="74"/>
      <c r="H49" s="75"/>
      <c r="I49" s="76" t="str">
        <f t="shared" si="1"/>
        <v/>
      </c>
    </row>
    <row r="50" spans="1:9" s="76" customFormat="1" ht="17.399999999999999">
      <c r="A50" s="74"/>
      <c r="B50" s="75"/>
      <c r="C50" s="76" t="str">
        <f t="shared" si="2"/>
        <v/>
      </c>
      <c r="D50" s="74"/>
      <c r="E50" s="75"/>
      <c r="F50" s="76" t="str">
        <f t="shared" si="0"/>
        <v/>
      </c>
      <c r="G50" s="74"/>
      <c r="H50" s="75"/>
      <c r="I50" s="76" t="str">
        <f t="shared" si="1"/>
        <v/>
      </c>
    </row>
    <row r="51" spans="1:9" s="76" customFormat="1" ht="17.399999999999999">
      <c r="A51" s="74"/>
      <c r="B51" s="75"/>
      <c r="C51" s="76" t="str">
        <f t="shared" si="2"/>
        <v/>
      </c>
      <c r="D51" s="74"/>
      <c r="E51" s="75"/>
      <c r="F51" s="76" t="str">
        <f t="shared" si="0"/>
        <v/>
      </c>
      <c r="G51" s="74"/>
      <c r="H51" s="75"/>
      <c r="I51" s="76" t="str">
        <f t="shared" si="1"/>
        <v/>
      </c>
    </row>
    <row r="52" spans="1:9" s="76" customFormat="1" ht="17.399999999999999">
      <c r="A52" s="74"/>
      <c r="B52" s="75"/>
      <c r="C52" s="76" t="str">
        <f t="shared" si="2"/>
        <v/>
      </c>
      <c r="D52" s="74"/>
      <c r="E52" s="75"/>
      <c r="F52" s="76" t="str">
        <f t="shared" si="0"/>
        <v/>
      </c>
      <c r="G52" s="74"/>
      <c r="H52" s="75"/>
      <c r="I52" s="76" t="str">
        <f t="shared" si="1"/>
        <v/>
      </c>
    </row>
    <row r="53" spans="1:9" s="76" customFormat="1" ht="17.399999999999999">
      <c r="A53" s="74"/>
      <c r="B53" s="75"/>
      <c r="C53" s="76" t="str">
        <f t="shared" si="2"/>
        <v/>
      </c>
      <c r="D53" s="74"/>
      <c r="E53" s="75"/>
      <c r="F53" s="76" t="str">
        <f t="shared" si="0"/>
        <v/>
      </c>
      <c r="G53" s="74"/>
      <c r="H53" s="75"/>
      <c r="I53" s="76" t="str">
        <f t="shared" si="1"/>
        <v/>
      </c>
    </row>
    <row r="54" spans="1:9" s="76" customFormat="1" ht="17.399999999999999">
      <c r="A54" s="74"/>
      <c r="B54" s="75"/>
      <c r="C54" s="76" t="str">
        <f t="shared" si="2"/>
        <v/>
      </c>
      <c r="D54" s="74"/>
      <c r="E54" s="75"/>
      <c r="F54" s="76" t="str">
        <f t="shared" si="0"/>
        <v/>
      </c>
      <c r="G54" s="74"/>
      <c r="H54" s="75"/>
      <c r="I54" s="76" t="str">
        <f t="shared" si="1"/>
        <v/>
      </c>
    </row>
    <row r="55" spans="1:9" s="76" customFormat="1" ht="17.399999999999999">
      <c r="A55" s="74"/>
      <c r="B55" s="75"/>
      <c r="C55" s="76" t="str">
        <f t="shared" si="2"/>
        <v/>
      </c>
      <c r="D55" s="74"/>
      <c r="E55" s="75"/>
      <c r="F55" s="76" t="str">
        <f t="shared" si="0"/>
        <v/>
      </c>
      <c r="G55" s="74"/>
      <c r="H55" s="75"/>
      <c r="I55" s="76" t="str">
        <f t="shared" si="1"/>
        <v/>
      </c>
    </row>
    <row r="56" spans="1:9" s="76" customFormat="1" ht="17.399999999999999">
      <c r="A56" s="74"/>
      <c r="B56" s="75"/>
      <c r="C56" s="76" t="str">
        <f t="shared" si="2"/>
        <v/>
      </c>
      <c r="D56" s="74"/>
      <c r="E56" s="75"/>
      <c r="F56" s="76" t="str">
        <f t="shared" si="0"/>
        <v/>
      </c>
      <c r="G56" s="74"/>
      <c r="H56" s="75"/>
      <c r="I56" s="76" t="str">
        <f t="shared" si="1"/>
        <v/>
      </c>
    </row>
    <row r="57" spans="1:9" s="76" customFormat="1" ht="17.399999999999999">
      <c r="A57" s="74"/>
      <c r="B57" s="75"/>
      <c r="C57" s="76" t="str">
        <f t="shared" si="2"/>
        <v/>
      </c>
      <c r="D57" s="74"/>
      <c r="E57" s="75"/>
      <c r="F57" s="76" t="str">
        <f t="shared" si="0"/>
        <v/>
      </c>
      <c r="G57" s="74"/>
      <c r="H57" s="75"/>
      <c r="I57" s="76" t="str">
        <f t="shared" si="1"/>
        <v/>
      </c>
    </row>
    <row r="58" spans="1:9" s="76" customFormat="1" ht="17.399999999999999">
      <c r="A58" s="74"/>
      <c r="B58" s="75"/>
      <c r="C58" s="76" t="str">
        <f t="shared" si="2"/>
        <v/>
      </c>
      <c r="D58" s="74"/>
      <c r="E58" s="75"/>
      <c r="F58" s="76" t="str">
        <f t="shared" si="0"/>
        <v/>
      </c>
      <c r="G58" s="74"/>
      <c r="H58" s="75"/>
      <c r="I58" s="76" t="str">
        <f t="shared" si="1"/>
        <v/>
      </c>
    </row>
    <row r="59" spans="1:9" s="76" customFormat="1" ht="17.399999999999999">
      <c r="A59" s="74"/>
      <c r="B59" s="75"/>
      <c r="C59" s="76" t="str">
        <f t="shared" si="2"/>
        <v/>
      </c>
      <c r="D59" s="74"/>
      <c r="E59" s="75"/>
      <c r="F59" s="76" t="str">
        <f t="shared" si="0"/>
        <v/>
      </c>
      <c r="G59" s="74"/>
      <c r="H59" s="75"/>
      <c r="I59" s="76" t="str">
        <f t="shared" si="1"/>
        <v/>
      </c>
    </row>
    <row r="60" spans="1:9" s="76" customFormat="1" ht="17.399999999999999">
      <c r="A60" s="74"/>
      <c r="B60" s="75"/>
      <c r="C60" s="76" t="str">
        <f t="shared" si="2"/>
        <v/>
      </c>
      <c r="D60" s="74"/>
      <c r="E60" s="75"/>
      <c r="F60" s="76" t="str">
        <f t="shared" si="0"/>
        <v/>
      </c>
      <c r="G60" s="74"/>
      <c r="H60" s="75"/>
      <c r="I60" s="76" t="str">
        <f t="shared" si="1"/>
        <v/>
      </c>
    </row>
    <row r="61" spans="1:9" s="76" customFormat="1" ht="17.399999999999999">
      <c r="A61" s="74"/>
      <c r="B61" s="75"/>
      <c r="C61" s="76" t="str">
        <f t="shared" si="2"/>
        <v/>
      </c>
      <c r="D61" s="74"/>
      <c r="E61" s="75"/>
      <c r="F61" s="76" t="str">
        <f t="shared" si="0"/>
        <v/>
      </c>
      <c r="G61" s="74"/>
      <c r="H61" s="75"/>
      <c r="I61" s="76" t="str">
        <f t="shared" si="1"/>
        <v/>
      </c>
    </row>
    <row r="62" spans="1:9" s="76" customFormat="1" ht="17.399999999999999">
      <c r="A62" s="74"/>
      <c r="B62" s="75"/>
      <c r="C62" s="76" t="str">
        <f t="shared" si="2"/>
        <v/>
      </c>
      <c r="D62" s="74"/>
      <c r="E62" s="75"/>
      <c r="F62" s="76" t="str">
        <f t="shared" si="0"/>
        <v/>
      </c>
      <c r="G62" s="74"/>
      <c r="H62" s="75"/>
      <c r="I62" s="76" t="str">
        <f t="shared" si="1"/>
        <v/>
      </c>
    </row>
    <row r="63" spans="1:9" s="76" customFormat="1" ht="17.399999999999999">
      <c r="A63" s="74"/>
      <c r="B63" s="75"/>
      <c r="C63" s="76" t="str">
        <f t="shared" si="2"/>
        <v/>
      </c>
      <c r="D63" s="74"/>
      <c r="E63" s="75"/>
      <c r="F63" s="76" t="str">
        <f t="shared" si="0"/>
        <v/>
      </c>
      <c r="G63" s="74"/>
      <c r="H63" s="75"/>
      <c r="I63" s="76" t="str">
        <f t="shared" si="1"/>
        <v/>
      </c>
    </row>
    <row r="64" spans="1:9" s="76" customFormat="1" ht="17.399999999999999">
      <c r="A64" s="74"/>
      <c r="B64" s="75"/>
      <c r="C64" s="76" t="str">
        <f t="shared" si="2"/>
        <v/>
      </c>
      <c r="D64" s="74"/>
      <c r="E64" s="75"/>
      <c r="F64" s="76" t="str">
        <f t="shared" si="0"/>
        <v/>
      </c>
      <c r="G64" s="74"/>
      <c r="H64" s="75"/>
      <c r="I64" s="76" t="str">
        <f t="shared" si="1"/>
        <v/>
      </c>
    </row>
    <row r="65" spans="1:9" s="76" customFormat="1" ht="17.399999999999999">
      <c r="A65" s="74"/>
      <c r="B65" s="75"/>
      <c r="C65" s="76" t="str">
        <f t="shared" si="2"/>
        <v/>
      </c>
      <c r="D65" s="74"/>
      <c r="E65" s="75"/>
      <c r="F65" s="76" t="str">
        <f t="shared" si="0"/>
        <v/>
      </c>
      <c r="G65" s="74"/>
      <c r="H65" s="75"/>
      <c r="I65" s="76" t="str">
        <f t="shared" si="1"/>
        <v/>
      </c>
    </row>
    <row r="66" spans="1:9" s="76" customFormat="1" ht="17.399999999999999">
      <c r="A66" s="74"/>
      <c r="B66" s="75"/>
      <c r="C66" s="76" t="str">
        <f t="shared" si="2"/>
        <v/>
      </c>
      <c r="D66" s="74"/>
      <c r="E66" s="75"/>
      <c r="F66" s="76" t="str">
        <f t="shared" si="0"/>
        <v/>
      </c>
      <c r="G66" s="74"/>
      <c r="H66" s="75"/>
      <c r="I66" s="76" t="str">
        <f t="shared" si="1"/>
        <v/>
      </c>
    </row>
    <row r="67" spans="1:9" s="76" customFormat="1" ht="17.399999999999999">
      <c r="A67" s="74"/>
      <c r="B67" s="75"/>
      <c r="C67" s="76" t="str">
        <f t="shared" si="2"/>
        <v/>
      </c>
      <c r="D67" s="74"/>
      <c r="E67" s="75"/>
      <c r="F67" s="76" t="str">
        <f t="shared" si="0"/>
        <v/>
      </c>
      <c r="G67" s="74"/>
      <c r="H67" s="75"/>
      <c r="I67" s="76" t="str">
        <f t="shared" si="1"/>
        <v/>
      </c>
    </row>
    <row r="68" spans="1:9" s="76" customFormat="1" ht="17.399999999999999">
      <c r="A68" s="74"/>
      <c r="B68" s="75"/>
      <c r="C68" s="76" t="str">
        <f t="shared" si="2"/>
        <v/>
      </c>
      <c r="D68" s="74"/>
      <c r="E68" s="75"/>
      <c r="F68" s="76" t="str">
        <f t="shared" si="0"/>
        <v/>
      </c>
      <c r="G68" s="74"/>
      <c r="H68" s="75"/>
      <c r="I68" s="76" t="str">
        <f t="shared" si="1"/>
        <v/>
      </c>
    </row>
    <row r="69" spans="1:9" s="76" customFormat="1" ht="17.399999999999999">
      <c r="A69" s="74"/>
      <c r="B69" s="75"/>
      <c r="C69" s="76" t="str">
        <f t="shared" ref="C69:C132" si="3">IF(B69&gt;0,TEXT(B69,"(aaa)"),"")</f>
        <v/>
      </c>
      <c r="D69" s="74"/>
      <c r="E69" s="75"/>
      <c r="F69" s="76" t="str">
        <f t="shared" ref="F69:F132" si="4">IF(E69&gt;0,TEXT(E69,"(aaa)"),"")</f>
        <v/>
      </c>
      <c r="G69" s="74"/>
      <c r="H69" s="75"/>
      <c r="I69" s="76" t="str">
        <f t="shared" ref="I69:I132" si="5">IF(H69&gt;0,TEXT(H69,"(aaa)"),"")</f>
        <v/>
      </c>
    </row>
    <row r="70" spans="1:9" s="76" customFormat="1" ht="17.399999999999999">
      <c r="A70" s="74"/>
      <c r="B70" s="75"/>
      <c r="C70" s="76" t="str">
        <f t="shared" si="3"/>
        <v/>
      </c>
      <c r="D70" s="74"/>
      <c r="E70" s="75"/>
      <c r="F70" s="76" t="str">
        <f t="shared" si="4"/>
        <v/>
      </c>
      <c r="G70" s="74"/>
      <c r="H70" s="75"/>
      <c r="I70" s="76" t="str">
        <f t="shared" si="5"/>
        <v/>
      </c>
    </row>
    <row r="71" spans="1:9" s="76" customFormat="1" ht="17.399999999999999">
      <c r="A71" s="74"/>
      <c r="B71" s="75"/>
      <c r="C71" s="76" t="str">
        <f t="shared" si="3"/>
        <v/>
      </c>
      <c r="D71" s="74"/>
      <c r="E71" s="75"/>
      <c r="F71" s="76" t="str">
        <f t="shared" si="4"/>
        <v/>
      </c>
      <c r="G71" s="74"/>
      <c r="H71" s="75"/>
      <c r="I71" s="76" t="str">
        <f t="shared" si="5"/>
        <v/>
      </c>
    </row>
    <row r="72" spans="1:9" s="76" customFormat="1" ht="17.399999999999999">
      <c r="A72" s="74"/>
      <c r="B72" s="75"/>
      <c r="C72" s="76" t="str">
        <f t="shared" si="3"/>
        <v/>
      </c>
      <c r="D72" s="74"/>
      <c r="E72" s="75"/>
      <c r="F72" s="76" t="str">
        <f t="shared" si="4"/>
        <v/>
      </c>
      <c r="G72" s="74"/>
      <c r="H72" s="75"/>
      <c r="I72" s="76" t="str">
        <f t="shared" si="5"/>
        <v/>
      </c>
    </row>
    <row r="73" spans="1:9" s="76" customFormat="1" ht="17.399999999999999">
      <c r="A73" s="74"/>
      <c r="B73" s="75"/>
      <c r="C73" s="76" t="str">
        <f t="shared" si="3"/>
        <v/>
      </c>
      <c r="D73" s="74"/>
      <c r="E73" s="75"/>
      <c r="F73" s="76" t="str">
        <f t="shared" si="4"/>
        <v/>
      </c>
      <c r="G73" s="74"/>
      <c r="H73" s="75"/>
      <c r="I73" s="76" t="str">
        <f t="shared" si="5"/>
        <v/>
      </c>
    </row>
    <row r="74" spans="1:9" s="76" customFormat="1" ht="17.399999999999999">
      <c r="A74" s="74"/>
      <c r="B74" s="75"/>
      <c r="C74" s="76" t="str">
        <f t="shared" si="3"/>
        <v/>
      </c>
      <c r="D74" s="74"/>
      <c r="E74" s="75"/>
      <c r="F74" s="76" t="str">
        <f t="shared" si="4"/>
        <v/>
      </c>
      <c r="G74" s="74"/>
      <c r="H74" s="75"/>
      <c r="I74" s="76" t="str">
        <f t="shared" si="5"/>
        <v/>
      </c>
    </row>
    <row r="75" spans="1:9" s="76" customFormat="1" ht="17.399999999999999">
      <c r="A75" s="74"/>
      <c r="B75" s="75"/>
      <c r="C75" s="76" t="str">
        <f t="shared" si="3"/>
        <v/>
      </c>
      <c r="D75" s="74"/>
      <c r="E75" s="75"/>
      <c r="F75" s="76" t="str">
        <f t="shared" si="4"/>
        <v/>
      </c>
      <c r="G75" s="74"/>
      <c r="H75" s="75"/>
      <c r="I75" s="76" t="str">
        <f t="shared" si="5"/>
        <v/>
      </c>
    </row>
    <row r="76" spans="1:9" s="76" customFormat="1" ht="17.399999999999999">
      <c r="A76" s="74"/>
      <c r="B76" s="75"/>
      <c r="C76" s="76" t="str">
        <f t="shared" si="3"/>
        <v/>
      </c>
      <c r="D76" s="74"/>
      <c r="E76" s="75"/>
      <c r="F76" s="76" t="str">
        <f t="shared" si="4"/>
        <v/>
      </c>
      <c r="G76" s="74"/>
      <c r="H76" s="75"/>
      <c r="I76" s="76" t="str">
        <f t="shared" si="5"/>
        <v/>
      </c>
    </row>
    <row r="77" spans="1:9" s="76" customFormat="1" ht="17.399999999999999">
      <c r="A77" s="74"/>
      <c r="B77" s="75"/>
      <c r="C77" s="76" t="str">
        <f t="shared" si="3"/>
        <v/>
      </c>
      <c r="D77" s="74"/>
      <c r="E77" s="75"/>
      <c r="F77" s="76" t="str">
        <f t="shared" si="4"/>
        <v/>
      </c>
      <c r="G77" s="74"/>
      <c r="H77" s="75"/>
      <c r="I77" s="76" t="str">
        <f t="shared" si="5"/>
        <v/>
      </c>
    </row>
    <row r="78" spans="1:9" s="76" customFormat="1" ht="17.399999999999999">
      <c r="A78" s="74"/>
      <c r="B78" s="75"/>
      <c r="C78" s="76" t="str">
        <f t="shared" si="3"/>
        <v/>
      </c>
      <c r="D78" s="74"/>
      <c r="E78" s="75"/>
      <c r="F78" s="76" t="str">
        <f t="shared" si="4"/>
        <v/>
      </c>
      <c r="G78" s="74"/>
      <c r="H78" s="75"/>
      <c r="I78" s="76" t="str">
        <f t="shared" si="5"/>
        <v/>
      </c>
    </row>
    <row r="79" spans="1:9" s="76" customFormat="1" ht="17.399999999999999">
      <c r="A79" s="74"/>
      <c r="B79" s="75"/>
      <c r="C79" s="76" t="str">
        <f t="shared" si="3"/>
        <v/>
      </c>
      <c r="D79" s="74"/>
      <c r="E79" s="75"/>
      <c r="F79" s="76" t="str">
        <f t="shared" si="4"/>
        <v/>
      </c>
      <c r="G79" s="74"/>
      <c r="H79" s="75"/>
      <c r="I79" s="76" t="str">
        <f t="shared" si="5"/>
        <v/>
      </c>
    </row>
    <row r="80" spans="1:9" s="76" customFormat="1" ht="17.399999999999999">
      <c r="A80" s="74"/>
      <c r="B80" s="75"/>
      <c r="C80" s="76" t="str">
        <f t="shared" si="3"/>
        <v/>
      </c>
      <c r="D80" s="74"/>
      <c r="E80" s="75"/>
      <c r="F80" s="76" t="str">
        <f t="shared" si="4"/>
        <v/>
      </c>
      <c r="G80" s="74"/>
      <c r="H80" s="75"/>
      <c r="I80" s="76" t="str">
        <f t="shared" si="5"/>
        <v/>
      </c>
    </row>
    <row r="81" spans="1:9" s="76" customFormat="1" ht="17.399999999999999">
      <c r="A81" s="74"/>
      <c r="B81" s="75"/>
      <c r="C81" s="76" t="str">
        <f t="shared" si="3"/>
        <v/>
      </c>
      <c r="D81" s="74"/>
      <c r="E81" s="75"/>
      <c r="F81" s="76" t="str">
        <f t="shared" si="4"/>
        <v/>
      </c>
      <c r="G81" s="74"/>
      <c r="H81" s="75"/>
      <c r="I81" s="76" t="str">
        <f t="shared" si="5"/>
        <v/>
      </c>
    </row>
    <row r="82" spans="1:9" s="76" customFormat="1" ht="17.399999999999999">
      <c r="A82" s="74"/>
      <c r="B82" s="75"/>
      <c r="C82" s="76" t="str">
        <f t="shared" si="3"/>
        <v/>
      </c>
      <c r="D82" s="74"/>
      <c r="E82" s="75"/>
      <c r="F82" s="76" t="str">
        <f t="shared" si="4"/>
        <v/>
      </c>
      <c r="G82" s="74"/>
      <c r="H82" s="75"/>
      <c r="I82" s="76" t="str">
        <f t="shared" si="5"/>
        <v/>
      </c>
    </row>
    <row r="83" spans="1:9" s="76" customFormat="1" ht="17.399999999999999">
      <c r="A83" s="74"/>
      <c r="B83" s="75"/>
      <c r="C83" s="76" t="str">
        <f t="shared" si="3"/>
        <v/>
      </c>
      <c r="D83" s="74"/>
      <c r="E83" s="75"/>
      <c r="F83" s="76" t="str">
        <f t="shared" si="4"/>
        <v/>
      </c>
      <c r="G83" s="74"/>
      <c r="H83" s="75"/>
      <c r="I83" s="76" t="str">
        <f t="shared" si="5"/>
        <v/>
      </c>
    </row>
    <row r="84" spans="1:9" s="76" customFormat="1" ht="17.399999999999999">
      <c r="A84" s="74"/>
      <c r="B84" s="75"/>
      <c r="C84" s="76" t="str">
        <f t="shared" si="3"/>
        <v/>
      </c>
      <c r="D84" s="74"/>
      <c r="E84" s="75"/>
      <c r="F84" s="76" t="str">
        <f t="shared" si="4"/>
        <v/>
      </c>
      <c r="G84" s="74"/>
      <c r="H84" s="75"/>
      <c r="I84" s="76" t="str">
        <f t="shared" si="5"/>
        <v/>
      </c>
    </row>
    <row r="85" spans="1:9" s="76" customFormat="1" ht="17.399999999999999">
      <c r="A85" s="74"/>
      <c r="B85" s="75"/>
      <c r="C85" s="76" t="str">
        <f t="shared" si="3"/>
        <v/>
      </c>
      <c r="D85" s="74"/>
      <c r="E85" s="75"/>
      <c r="F85" s="76" t="str">
        <f t="shared" si="4"/>
        <v/>
      </c>
      <c r="G85" s="74"/>
      <c r="H85" s="75"/>
      <c r="I85" s="76" t="str">
        <f t="shared" si="5"/>
        <v/>
      </c>
    </row>
    <row r="86" spans="1:9" s="76" customFormat="1" ht="17.399999999999999">
      <c r="A86" s="74"/>
      <c r="B86" s="75"/>
      <c r="C86" s="76" t="str">
        <f t="shared" si="3"/>
        <v/>
      </c>
      <c r="D86" s="74"/>
      <c r="E86" s="75"/>
      <c r="F86" s="76" t="str">
        <f t="shared" si="4"/>
        <v/>
      </c>
      <c r="G86" s="74"/>
      <c r="H86" s="75"/>
      <c r="I86" s="76" t="str">
        <f t="shared" si="5"/>
        <v/>
      </c>
    </row>
    <row r="87" spans="1:9" s="76" customFormat="1" ht="17.399999999999999">
      <c r="A87" s="74"/>
      <c r="B87" s="75"/>
      <c r="C87" s="76" t="str">
        <f t="shared" si="3"/>
        <v/>
      </c>
      <c r="D87" s="74"/>
      <c r="E87" s="75"/>
      <c r="F87" s="76" t="str">
        <f t="shared" si="4"/>
        <v/>
      </c>
      <c r="G87" s="74"/>
      <c r="H87" s="75"/>
      <c r="I87" s="76" t="str">
        <f t="shared" si="5"/>
        <v/>
      </c>
    </row>
    <row r="88" spans="1:9" s="76" customFormat="1" ht="17.399999999999999">
      <c r="A88" s="74"/>
      <c r="B88" s="75"/>
      <c r="C88" s="76" t="str">
        <f t="shared" si="3"/>
        <v/>
      </c>
      <c r="D88" s="74"/>
      <c r="E88" s="75"/>
      <c r="F88" s="76" t="str">
        <f t="shared" si="4"/>
        <v/>
      </c>
      <c r="G88" s="74"/>
      <c r="H88" s="75"/>
      <c r="I88" s="76" t="str">
        <f t="shared" si="5"/>
        <v/>
      </c>
    </row>
    <row r="89" spans="1:9" s="76" customFormat="1" ht="17.399999999999999">
      <c r="A89" s="74"/>
      <c r="B89" s="75"/>
      <c r="C89" s="76" t="str">
        <f t="shared" si="3"/>
        <v/>
      </c>
      <c r="D89" s="74"/>
      <c r="E89" s="75"/>
      <c r="F89" s="76" t="str">
        <f t="shared" si="4"/>
        <v/>
      </c>
      <c r="G89" s="74"/>
      <c r="H89" s="75"/>
      <c r="I89" s="76" t="str">
        <f t="shared" si="5"/>
        <v/>
      </c>
    </row>
    <row r="90" spans="1:9" s="76" customFormat="1" ht="17.399999999999999">
      <c r="A90" s="74"/>
      <c r="B90" s="75"/>
      <c r="C90" s="76" t="str">
        <f t="shared" si="3"/>
        <v/>
      </c>
      <c r="D90" s="74"/>
      <c r="E90" s="75"/>
      <c r="F90" s="76" t="str">
        <f t="shared" si="4"/>
        <v/>
      </c>
      <c r="G90" s="74"/>
      <c r="H90" s="75"/>
      <c r="I90" s="76" t="str">
        <f t="shared" si="5"/>
        <v/>
      </c>
    </row>
    <row r="91" spans="1:9" s="76" customFormat="1" ht="17.399999999999999">
      <c r="A91" s="74"/>
      <c r="B91" s="75"/>
      <c r="C91" s="76" t="str">
        <f t="shared" si="3"/>
        <v/>
      </c>
      <c r="D91" s="74"/>
      <c r="E91" s="75"/>
      <c r="F91" s="76" t="str">
        <f t="shared" si="4"/>
        <v/>
      </c>
      <c r="G91" s="74"/>
      <c r="H91" s="75"/>
      <c r="I91" s="76" t="str">
        <f t="shared" si="5"/>
        <v/>
      </c>
    </row>
    <row r="92" spans="1:9" s="76" customFormat="1" ht="17.399999999999999">
      <c r="A92" s="74"/>
      <c r="B92" s="75"/>
      <c r="C92" s="76" t="str">
        <f t="shared" si="3"/>
        <v/>
      </c>
      <c r="D92" s="74"/>
      <c r="E92" s="75"/>
      <c r="F92" s="76" t="str">
        <f t="shared" si="4"/>
        <v/>
      </c>
      <c r="G92" s="74"/>
      <c r="H92" s="75"/>
      <c r="I92" s="76" t="str">
        <f t="shared" si="5"/>
        <v/>
      </c>
    </row>
    <row r="93" spans="1:9" s="76" customFormat="1" ht="17.399999999999999">
      <c r="A93" s="74"/>
      <c r="B93" s="75"/>
      <c r="C93" s="76" t="str">
        <f t="shared" si="3"/>
        <v/>
      </c>
      <c r="D93" s="74"/>
      <c r="E93" s="75"/>
      <c r="F93" s="76" t="str">
        <f t="shared" si="4"/>
        <v/>
      </c>
      <c r="G93" s="74"/>
      <c r="H93" s="75"/>
      <c r="I93" s="76" t="str">
        <f t="shared" si="5"/>
        <v/>
      </c>
    </row>
    <row r="94" spans="1:9" s="76" customFormat="1" ht="17.399999999999999">
      <c r="A94" s="74"/>
      <c r="B94" s="75"/>
      <c r="C94" s="76" t="str">
        <f t="shared" si="3"/>
        <v/>
      </c>
      <c r="D94" s="74"/>
      <c r="E94" s="75"/>
      <c r="F94" s="76" t="str">
        <f t="shared" si="4"/>
        <v/>
      </c>
      <c r="G94" s="74"/>
      <c r="H94" s="75"/>
      <c r="I94" s="76" t="str">
        <f t="shared" si="5"/>
        <v/>
      </c>
    </row>
    <row r="95" spans="1:9" s="76" customFormat="1" ht="17.399999999999999">
      <c r="A95" s="74"/>
      <c r="B95" s="75"/>
      <c r="C95" s="76" t="str">
        <f t="shared" si="3"/>
        <v/>
      </c>
      <c r="D95" s="74"/>
      <c r="E95" s="75"/>
      <c r="F95" s="76" t="str">
        <f t="shared" si="4"/>
        <v/>
      </c>
      <c r="G95" s="74"/>
      <c r="H95" s="75"/>
      <c r="I95" s="76" t="str">
        <f t="shared" si="5"/>
        <v/>
      </c>
    </row>
    <row r="96" spans="1:9" s="76" customFormat="1" ht="17.399999999999999">
      <c r="A96" s="74"/>
      <c r="B96" s="75"/>
      <c r="C96" s="76" t="str">
        <f t="shared" si="3"/>
        <v/>
      </c>
      <c r="D96" s="74"/>
      <c r="E96" s="75"/>
      <c r="F96" s="76" t="str">
        <f t="shared" si="4"/>
        <v/>
      </c>
      <c r="G96" s="74"/>
      <c r="H96" s="75"/>
      <c r="I96" s="76" t="str">
        <f t="shared" si="5"/>
        <v/>
      </c>
    </row>
    <row r="97" spans="1:9" s="76" customFormat="1" ht="17.399999999999999">
      <c r="A97" s="74"/>
      <c r="B97" s="75"/>
      <c r="C97" s="76" t="str">
        <f t="shared" si="3"/>
        <v/>
      </c>
      <c r="D97" s="74"/>
      <c r="E97" s="75"/>
      <c r="F97" s="76" t="str">
        <f t="shared" si="4"/>
        <v/>
      </c>
      <c r="G97" s="74"/>
      <c r="H97" s="75"/>
      <c r="I97" s="76" t="str">
        <f t="shared" si="5"/>
        <v/>
      </c>
    </row>
    <row r="98" spans="1:9" s="76" customFormat="1" ht="17.399999999999999">
      <c r="A98" s="74"/>
      <c r="B98" s="75"/>
      <c r="C98" s="76" t="str">
        <f t="shared" si="3"/>
        <v/>
      </c>
      <c r="D98" s="74"/>
      <c r="E98" s="75"/>
      <c r="F98" s="76" t="str">
        <f t="shared" si="4"/>
        <v/>
      </c>
      <c r="G98" s="74"/>
      <c r="H98" s="75"/>
      <c r="I98" s="76" t="str">
        <f t="shared" si="5"/>
        <v/>
      </c>
    </row>
    <row r="99" spans="1:9" s="76" customFormat="1" ht="17.399999999999999">
      <c r="A99" s="74"/>
      <c r="B99" s="75"/>
      <c r="C99" s="76" t="str">
        <f t="shared" si="3"/>
        <v/>
      </c>
      <c r="D99" s="74"/>
      <c r="E99" s="75"/>
      <c r="F99" s="76" t="str">
        <f t="shared" si="4"/>
        <v/>
      </c>
      <c r="G99" s="74"/>
      <c r="H99" s="75"/>
      <c r="I99" s="76" t="str">
        <f t="shared" si="5"/>
        <v/>
      </c>
    </row>
    <row r="100" spans="1:9" s="76" customFormat="1" ht="17.399999999999999">
      <c r="A100" s="74"/>
      <c r="B100" s="75"/>
      <c r="C100" s="76" t="str">
        <f t="shared" si="3"/>
        <v/>
      </c>
      <c r="D100" s="74"/>
      <c r="E100" s="75"/>
      <c r="F100" s="76" t="str">
        <f t="shared" si="4"/>
        <v/>
      </c>
      <c r="G100" s="74"/>
      <c r="H100" s="75"/>
      <c r="I100" s="76" t="str">
        <f t="shared" si="5"/>
        <v/>
      </c>
    </row>
    <row r="101" spans="1:9" s="76" customFormat="1" ht="17.399999999999999">
      <c r="A101" s="74"/>
      <c r="B101" s="75"/>
      <c r="C101" s="76" t="str">
        <f t="shared" si="3"/>
        <v/>
      </c>
      <c r="D101" s="74"/>
      <c r="E101" s="75"/>
      <c r="F101" s="76" t="str">
        <f t="shared" si="4"/>
        <v/>
      </c>
      <c r="G101" s="74"/>
      <c r="H101" s="75"/>
      <c r="I101" s="76" t="str">
        <f t="shared" si="5"/>
        <v/>
      </c>
    </row>
    <row r="102" spans="1:9" s="76" customFormat="1" ht="17.399999999999999">
      <c r="A102" s="74"/>
      <c r="B102" s="75"/>
      <c r="C102" s="76" t="str">
        <f t="shared" si="3"/>
        <v/>
      </c>
      <c r="D102" s="74"/>
      <c r="E102" s="75"/>
      <c r="F102" s="76" t="str">
        <f t="shared" si="4"/>
        <v/>
      </c>
      <c r="G102" s="74"/>
      <c r="H102" s="75"/>
      <c r="I102" s="76" t="str">
        <f t="shared" si="5"/>
        <v/>
      </c>
    </row>
    <row r="103" spans="1:9" s="76" customFormat="1" ht="17.399999999999999">
      <c r="A103" s="74"/>
      <c r="B103" s="75"/>
      <c r="C103" s="76" t="str">
        <f t="shared" si="3"/>
        <v/>
      </c>
      <c r="D103" s="74"/>
      <c r="E103" s="75"/>
      <c r="F103" s="76" t="str">
        <f t="shared" si="4"/>
        <v/>
      </c>
      <c r="G103" s="74"/>
      <c r="H103" s="75"/>
      <c r="I103" s="76" t="str">
        <f t="shared" si="5"/>
        <v/>
      </c>
    </row>
    <row r="104" spans="1:9" s="76" customFormat="1" ht="17.399999999999999">
      <c r="A104" s="74"/>
      <c r="B104" s="75"/>
      <c r="C104" s="76" t="str">
        <f t="shared" si="3"/>
        <v/>
      </c>
      <c r="D104" s="74"/>
      <c r="E104" s="75"/>
      <c r="F104" s="76" t="str">
        <f t="shared" si="4"/>
        <v/>
      </c>
      <c r="G104" s="74"/>
      <c r="H104" s="75"/>
      <c r="I104" s="76" t="str">
        <f t="shared" si="5"/>
        <v/>
      </c>
    </row>
    <row r="105" spans="1:9" s="76" customFormat="1" ht="17.399999999999999">
      <c r="A105" s="74"/>
      <c r="B105" s="75"/>
      <c r="C105" s="76" t="str">
        <f t="shared" si="3"/>
        <v/>
      </c>
      <c r="D105" s="74"/>
      <c r="E105" s="75"/>
      <c r="F105" s="76" t="str">
        <f t="shared" si="4"/>
        <v/>
      </c>
      <c r="G105" s="74"/>
      <c r="H105" s="75"/>
      <c r="I105" s="76" t="str">
        <f t="shared" si="5"/>
        <v/>
      </c>
    </row>
    <row r="106" spans="1:9" s="76" customFormat="1" ht="17.399999999999999">
      <c r="A106" s="74"/>
      <c r="B106" s="75"/>
      <c r="C106" s="76" t="str">
        <f t="shared" si="3"/>
        <v/>
      </c>
      <c r="D106" s="74"/>
      <c r="E106" s="75"/>
      <c r="F106" s="76" t="str">
        <f t="shared" si="4"/>
        <v/>
      </c>
      <c r="G106" s="74"/>
      <c r="H106" s="75"/>
      <c r="I106" s="76" t="str">
        <f t="shared" si="5"/>
        <v/>
      </c>
    </row>
    <row r="107" spans="1:9" s="76" customFormat="1" ht="17.399999999999999">
      <c r="A107" s="74"/>
      <c r="B107" s="75"/>
      <c r="C107" s="76" t="str">
        <f t="shared" si="3"/>
        <v/>
      </c>
      <c r="D107" s="74"/>
      <c r="E107" s="75"/>
      <c r="F107" s="76" t="str">
        <f t="shared" si="4"/>
        <v/>
      </c>
      <c r="G107" s="74"/>
      <c r="H107" s="75"/>
      <c r="I107" s="76" t="str">
        <f t="shared" si="5"/>
        <v/>
      </c>
    </row>
    <row r="108" spans="1:9" s="76" customFormat="1" ht="17.399999999999999">
      <c r="A108" s="74"/>
      <c r="B108" s="75"/>
      <c r="C108" s="76" t="str">
        <f t="shared" si="3"/>
        <v/>
      </c>
      <c r="D108" s="74"/>
      <c r="E108" s="75"/>
      <c r="F108" s="76" t="str">
        <f t="shared" si="4"/>
        <v/>
      </c>
      <c r="G108" s="74"/>
      <c r="H108" s="75"/>
      <c r="I108" s="76" t="str">
        <f t="shared" si="5"/>
        <v/>
      </c>
    </row>
    <row r="109" spans="1:9" s="76" customFormat="1" ht="17.399999999999999">
      <c r="A109" s="74"/>
      <c r="B109" s="75"/>
      <c r="C109" s="76" t="str">
        <f t="shared" si="3"/>
        <v/>
      </c>
      <c r="D109" s="74"/>
      <c r="E109" s="75"/>
      <c r="F109" s="76" t="str">
        <f t="shared" si="4"/>
        <v/>
      </c>
      <c r="G109" s="74"/>
      <c r="H109" s="75"/>
      <c r="I109" s="76" t="str">
        <f t="shared" si="5"/>
        <v/>
      </c>
    </row>
    <row r="110" spans="1:9" s="76" customFormat="1" ht="17.399999999999999">
      <c r="A110" s="74"/>
      <c r="B110" s="75"/>
      <c r="C110" s="76" t="str">
        <f t="shared" si="3"/>
        <v/>
      </c>
      <c r="D110" s="74"/>
      <c r="E110" s="75"/>
      <c r="F110" s="76" t="str">
        <f t="shared" si="4"/>
        <v/>
      </c>
      <c r="G110" s="74"/>
      <c r="H110" s="75"/>
      <c r="I110" s="76" t="str">
        <f t="shared" si="5"/>
        <v/>
      </c>
    </row>
    <row r="111" spans="1:9" s="76" customFormat="1" ht="17.399999999999999">
      <c r="A111" s="74"/>
      <c r="B111" s="75"/>
      <c r="C111" s="76" t="str">
        <f t="shared" si="3"/>
        <v/>
      </c>
      <c r="D111" s="74"/>
      <c r="E111" s="75"/>
      <c r="F111" s="76" t="str">
        <f t="shared" si="4"/>
        <v/>
      </c>
      <c r="G111" s="74"/>
      <c r="H111" s="75"/>
      <c r="I111" s="76" t="str">
        <f t="shared" si="5"/>
        <v/>
      </c>
    </row>
    <row r="112" spans="1:9" s="76" customFormat="1" ht="17.399999999999999">
      <c r="A112" s="74"/>
      <c r="B112" s="75"/>
      <c r="C112" s="76" t="str">
        <f t="shared" si="3"/>
        <v/>
      </c>
      <c r="D112" s="74"/>
      <c r="E112" s="75"/>
      <c r="F112" s="76" t="str">
        <f t="shared" si="4"/>
        <v/>
      </c>
      <c r="G112" s="74"/>
      <c r="H112" s="75"/>
      <c r="I112" s="76" t="str">
        <f t="shared" si="5"/>
        <v/>
      </c>
    </row>
    <row r="113" spans="1:9" s="76" customFormat="1" ht="17.399999999999999">
      <c r="A113" s="74"/>
      <c r="B113" s="75"/>
      <c r="C113" s="76" t="str">
        <f t="shared" si="3"/>
        <v/>
      </c>
      <c r="D113" s="74"/>
      <c r="E113" s="75"/>
      <c r="F113" s="76" t="str">
        <f t="shared" si="4"/>
        <v/>
      </c>
      <c r="G113" s="74"/>
      <c r="H113" s="75"/>
      <c r="I113" s="76" t="str">
        <f t="shared" si="5"/>
        <v/>
      </c>
    </row>
    <row r="114" spans="1:9" s="76" customFormat="1" ht="17.399999999999999">
      <c r="A114" s="74"/>
      <c r="B114" s="75"/>
      <c r="C114" s="76" t="str">
        <f t="shared" si="3"/>
        <v/>
      </c>
      <c r="D114" s="74"/>
      <c r="E114" s="75"/>
      <c r="F114" s="76" t="str">
        <f t="shared" si="4"/>
        <v/>
      </c>
      <c r="G114" s="74"/>
      <c r="H114" s="75"/>
      <c r="I114" s="76" t="str">
        <f t="shared" si="5"/>
        <v/>
      </c>
    </row>
    <row r="115" spans="1:9" s="76" customFormat="1" ht="17.399999999999999">
      <c r="A115" s="74"/>
      <c r="B115" s="75"/>
      <c r="C115" s="76" t="str">
        <f t="shared" si="3"/>
        <v/>
      </c>
      <c r="D115" s="74"/>
      <c r="E115" s="75"/>
      <c r="F115" s="76" t="str">
        <f t="shared" si="4"/>
        <v/>
      </c>
      <c r="G115" s="74"/>
      <c r="H115" s="75"/>
      <c r="I115" s="76" t="str">
        <f t="shared" si="5"/>
        <v/>
      </c>
    </row>
    <row r="116" spans="1:9" s="76" customFormat="1" ht="17.399999999999999">
      <c r="A116" s="74"/>
      <c r="B116" s="75"/>
      <c r="C116" s="76" t="str">
        <f t="shared" si="3"/>
        <v/>
      </c>
      <c r="D116" s="74"/>
      <c r="E116" s="75"/>
      <c r="F116" s="76" t="str">
        <f t="shared" si="4"/>
        <v/>
      </c>
      <c r="G116" s="74"/>
      <c r="H116" s="75"/>
      <c r="I116" s="76" t="str">
        <f t="shared" si="5"/>
        <v/>
      </c>
    </row>
    <row r="117" spans="1:9" s="76" customFormat="1" ht="17.399999999999999">
      <c r="A117" s="74"/>
      <c r="B117" s="75"/>
      <c r="C117" s="76" t="str">
        <f t="shared" si="3"/>
        <v/>
      </c>
      <c r="D117" s="74"/>
      <c r="E117" s="75"/>
      <c r="F117" s="76" t="str">
        <f t="shared" si="4"/>
        <v/>
      </c>
      <c r="G117" s="74"/>
      <c r="H117" s="75"/>
      <c r="I117" s="76" t="str">
        <f t="shared" si="5"/>
        <v/>
      </c>
    </row>
    <row r="118" spans="1:9" s="76" customFormat="1" ht="17.399999999999999">
      <c r="A118" s="74"/>
      <c r="B118" s="75"/>
      <c r="C118" s="76" t="str">
        <f t="shared" si="3"/>
        <v/>
      </c>
      <c r="D118" s="74"/>
      <c r="E118" s="75"/>
      <c r="F118" s="76" t="str">
        <f t="shared" si="4"/>
        <v/>
      </c>
      <c r="G118" s="74"/>
      <c r="H118" s="75"/>
      <c r="I118" s="76" t="str">
        <f t="shared" si="5"/>
        <v/>
      </c>
    </row>
    <row r="119" spans="1:9" s="76" customFormat="1" ht="17.399999999999999">
      <c r="A119" s="74"/>
      <c r="B119" s="75"/>
      <c r="C119" s="76" t="str">
        <f t="shared" si="3"/>
        <v/>
      </c>
      <c r="D119" s="74"/>
      <c r="E119" s="75"/>
      <c r="F119" s="76" t="str">
        <f t="shared" si="4"/>
        <v/>
      </c>
      <c r="G119" s="74"/>
      <c r="H119" s="75"/>
      <c r="I119" s="76" t="str">
        <f t="shared" si="5"/>
        <v/>
      </c>
    </row>
    <row r="120" spans="1:9" s="76" customFormat="1" ht="17.399999999999999">
      <c r="A120" s="74"/>
      <c r="B120" s="75"/>
      <c r="C120" s="76" t="str">
        <f t="shared" si="3"/>
        <v/>
      </c>
      <c r="D120" s="74"/>
      <c r="E120" s="75"/>
      <c r="F120" s="76" t="str">
        <f t="shared" si="4"/>
        <v/>
      </c>
      <c r="G120" s="74"/>
      <c r="H120" s="75"/>
      <c r="I120" s="76" t="str">
        <f t="shared" si="5"/>
        <v/>
      </c>
    </row>
    <row r="121" spans="1:9" s="76" customFormat="1" ht="17.399999999999999">
      <c r="A121" s="74"/>
      <c r="B121" s="75"/>
      <c r="C121" s="76" t="str">
        <f t="shared" si="3"/>
        <v/>
      </c>
      <c r="D121" s="74"/>
      <c r="E121" s="75"/>
      <c r="F121" s="76" t="str">
        <f t="shared" si="4"/>
        <v/>
      </c>
      <c r="G121" s="74"/>
      <c r="H121" s="75"/>
      <c r="I121" s="76" t="str">
        <f t="shared" si="5"/>
        <v/>
      </c>
    </row>
    <row r="122" spans="1:9" s="76" customFormat="1" ht="17.399999999999999">
      <c r="A122" s="74"/>
      <c r="B122" s="75"/>
      <c r="C122" s="76" t="str">
        <f t="shared" si="3"/>
        <v/>
      </c>
      <c r="D122" s="74"/>
      <c r="E122" s="75"/>
      <c r="F122" s="76" t="str">
        <f t="shared" si="4"/>
        <v/>
      </c>
      <c r="G122" s="74"/>
      <c r="H122" s="75"/>
      <c r="I122" s="76" t="str">
        <f t="shared" si="5"/>
        <v/>
      </c>
    </row>
    <row r="123" spans="1:9" s="76" customFormat="1" ht="17.399999999999999">
      <c r="A123" s="74"/>
      <c r="B123" s="75"/>
      <c r="C123" s="76" t="str">
        <f t="shared" si="3"/>
        <v/>
      </c>
      <c r="D123" s="74"/>
      <c r="E123" s="75"/>
      <c r="F123" s="76" t="str">
        <f t="shared" si="4"/>
        <v/>
      </c>
      <c r="G123" s="74"/>
      <c r="H123" s="75"/>
      <c r="I123" s="76" t="str">
        <f t="shared" si="5"/>
        <v/>
      </c>
    </row>
    <row r="124" spans="1:9" s="76" customFormat="1" ht="17.399999999999999">
      <c r="A124" s="74"/>
      <c r="B124" s="75"/>
      <c r="C124" s="76" t="str">
        <f t="shared" si="3"/>
        <v/>
      </c>
      <c r="D124" s="74"/>
      <c r="E124" s="75"/>
      <c r="F124" s="76" t="str">
        <f t="shared" si="4"/>
        <v/>
      </c>
      <c r="G124" s="74"/>
      <c r="H124" s="75"/>
      <c r="I124" s="76" t="str">
        <f t="shared" si="5"/>
        <v/>
      </c>
    </row>
    <row r="125" spans="1:9" s="76" customFormat="1" ht="17.399999999999999">
      <c r="A125" s="74"/>
      <c r="B125" s="75"/>
      <c r="C125" s="76" t="str">
        <f t="shared" si="3"/>
        <v/>
      </c>
      <c r="D125" s="74"/>
      <c r="E125" s="75"/>
      <c r="F125" s="76" t="str">
        <f t="shared" si="4"/>
        <v/>
      </c>
      <c r="G125" s="74"/>
      <c r="H125" s="75"/>
      <c r="I125" s="76" t="str">
        <f t="shared" si="5"/>
        <v/>
      </c>
    </row>
    <row r="126" spans="1:9" s="76" customFormat="1" ht="17.399999999999999">
      <c r="A126" s="74"/>
      <c r="B126" s="75"/>
      <c r="C126" s="76" t="str">
        <f t="shared" si="3"/>
        <v/>
      </c>
      <c r="D126" s="74"/>
      <c r="E126" s="75"/>
      <c r="F126" s="76" t="str">
        <f t="shared" si="4"/>
        <v/>
      </c>
      <c r="G126" s="74"/>
      <c r="H126" s="75"/>
      <c r="I126" s="76" t="str">
        <f t="shared" si="5"/>
        <v/>
      </c>
    </row>
    <row r="127" spans="1:9" s="76" customFormat="1" ht="17.399999999999999">
      <c r="A127" s="74"/>
      <c r="B127" s="75"/>
      <c r="C127" s="76" t="str">
        <f t="shared" si="3"/>
        <v/>
      </c>
      <c r="D127" s="74"/>
      <c r="E127" s="75"/>
      <c r="F127" s="76" t="str">
        <f t="shared" si="4"/>
        <v/>
      </c>
      <c r="G127" s="74"/>
      <c r="H127" s="75"/>
      <c r="I127" s="76" t="str">
        <f t="shared" si="5"/>
        <v/>
      </c>
    </row>
    <row r="128" spans="1:9" s="76" customFormat="1" ht="17.399999999999999">
      <c r="A128" s="74"/>
      <c r="B128" s="75"/>
      <c r="C128" s="76" t="str">
        <f t="shared" si="3"/>
        <v/>
      </c>
      <c r="D128" s="74"/>
      <c r="E128" s="75"/>
      <c r="F128" s="76" t="str">
        <f t="shared" si="4"/>
        <v/>
      </c>
      <c r="G128" s="74"/>
      <c r="H128" s="75"/>
      <c r="I128" s="76" t="str">
        <f t="shared" si="5"/>
        <v/>
      </c>
    </row>
    <row r="129" spans="1:9" s="76" customFormat="1" ht="17.399999999999999">
      <c r="A129" s="74"/>
      <c r="B129" s="75"/>
      <c r="C129" s="76" t="str">
        <f t="shared" si="3"/>
        <v/>
      </c>
      <c r="D129" s="74"/>
      <c r="E129" s="75"/>
      <c r="F129" s="76" t="str">
        <f t="shared" si="4"/>
        <v/>
      </c>
      <c r="G129" s="74"/>
      <c r="H129" s="75"/>
      <c r="I129" s="76" t="str">
        <f t="shared" si="5"/>
        <v/>
      </c>
    </row>
    <row r="130" spans="1:9" s="76" customFormat="1" ht="17.399999999999999">
      <c r="A130" s="74"/>
      <c r="B130" s="75"/>
      <c r="C130" s="76" t="str">
        <f t="shared" si="3"/>
        <v/>
      </c>
      <c r="D130" s="74"/>
      <c r="E130" s="75"/>
      <c r="F130" s="76" t="str">
        <f t="shared" si="4"/>
        <v/>
      </c>
      <c r="G130" s="74"/>
      <c r="H130" s="75"/>
      <c r="I130" s="76" t="str">
        <f t="shared" si="5"/>
        <v/>
      </c>
    </row>
    <row r="131" spans="1:9" s="76" customFormat="1" ht="17.399999999999999">
      <c r="A131" s="74"/>
      <c r="B131" s="75"/>
      <c r="C131" s="76" t="str">
        <f t="shared" si="3"/>
        <v/>
      </c>
      <c r="D131" s="74"/>
      <c r="E131" s="75"/>
      <c r="F131" s="76" t="str">
        <f t="shared" si="4"/>
        <v/>
      </c>
      <c r="G131" s="74"/>
      <c r="H131" s="75"/>
      <c r="I131" s="76" t="str">
        <f t="shared" si="5"/>
        <v/>
      </c>
    </row>
    <row r="132" spans="1:9" s="76" customFormat="1" ht="17.399999999999999">
      <c r="A132" s="74"/>
      <c r="B132" s="75"/>
      <c r="C132" s="76" t="str">
        <f t="shared" si="3"/>
        <v/>
      </c>
      <c r="D132" s="74"/>
      <c r="E132" s="75"/>
      <c r="F132" s="76" t="str">
        <f t="shared" si="4"/>
        <v/>
      </c>
      <c r="G132" s="74"/>
      <c r="H132" s="75"/>
      <c r="I132" s="76" t="str">
        <f t="shared" si="5"/>
        <v/>
      </c>
    </row>
    <row r="133" spans="1:9" s="76" customFormat="1" ht="17.399999999999999">
      <c r="A133" s="74"/>
      <c r="B133" s="75"/>
      <c r="C133" s="76" t="str">
        <f t="shared" ref="C133:C196" si="6">IF(B133&gt;0,TEXT(B133,"(aaa)"),"")</f>
        <v/>
      </c>
      <c r="D133" s="74"/>
      <c r="E133" s="75"/>
      <c r="F133" s="76" t="str">
        <f t="shared" ref="F133:F196" si="7">IF(E133&gt;0,TEXT(E133,"(aaa)"),"")</f>
        <v/>
      </c>
      <c r="G133" s="74"/>
      <c r="H133" s="75"/>
      <c r="I133" s="76" t="str">
        <f t="shared" ref="I133:I196" si="8">IF(H133&gt;0,TEXT(H133,"(aaa)"),"")</f>
        <v/>
      </c>
    </row>
    <row r="134" spans="1:9" s="76" customFormat="1" ht="17.399999999999999">
      <c r="A134" s="74"/>
      <c r="B134" s="75"/>
      <c r="C134" s="76" t="str">
        <f t="shared" si="6"/>
        <v/>
      </c>
      <c r="D134" s="74"/>
      <c r="E134" s="75"/>
      <c r="F134" s="76" t="str">
        <f t="shared" si="7"/>
        <v/>
      </c>
      <c r="G134" s="74"/>
      <c r="H134" s="75"/>
      <c r="I134" s="76" t="str">
        <f t="shared" si="8"/>
        <v/>
      </c>
    </row>
    <row r="135" spans="1:9" s="76" customFormat="1" ht="17.399999999999999">
      <c r="A135" s="74"/>
      <c r="B135" s="75"/>
      <c r="C135" s="76" t="str">
        <f t="shared" si="6"/>
        <v/>
      </c>
      <c r="D135" s="74"/>
      <c r="E135" s="75"/>
      <c r="F135" s="76" t="str">
        <f t="shared" si="7"/>
        <v/>
      </c>
      <c r="G135" s="74"/>
      <c r="H135" s="75"/>
      <c r="I135" s="76" t="str">
        <f t="shared" si="8"/>
        <v/>
      </c>
    </row>
    <row r="136" spans="1:9" s="76" customFormat="1" ht="17.399999999999999">
      <c r="A136" s="74"/>
      <c r="B136" s="75"/>
      <c r="C136" s="76" t="str">
        <f t="shared" si="6"/>
        <v/>
      </c>
      <c r="D136" s="74"/>
      <c r="E136" s="75"/>
      <c r="F136" s="76" t="str">
        <f t="shared" si="7"/>
        <v/>
      </c>
      <c r="G136" s="74"/>
      <c r="H136" s="75"/>
      <c r="I136" s="76" t="str">
        <f t="shared" si="8"/>
        <v/>
      </c>
    </row>
    <row r="137" spans="1:9" s="76" customFormat="1" ht="17.399999999999999">
      <c r="A137" s="74"/>
      <c r="B137" s="75"/>
      <c r="C137" s="76" t="str">
        <f t="shared" si="6"/>
        <v/>
      </c>
      <c r="D137" s="74"/>
      <c r="E137" s="75"/>
      <c r="F137" s="76" t="str">
        <f t="shared" si="7"/>
        <v/>
      </c>
      <c r="G137" s="74"/>
      <c r="H137" s="75"/>
      <c r="I137" s="76" t="str">
        <f t="shared" si="8"/>
        <v/>
      </c>
    </row>
    <row r="138" spans="1:9" s="76" customFormat="1" ht="17.399999999999999">
      <c r="A138" s="74"/>
      <c r="B138" s="75"/>
      <c r="C138" s="76" t="str">
        <f t="shared" si="6"/>
        <v/>
      </c>
      <c r="D138" s="74"/>
      <c r="E138" s="75"/>
      <c r="F138" s="76" t="str">
        <f t="shared" si="7"/>
        <v/>
      </c>
      <c r="G138" s="74"/>
      <c r="H138" s="75"/>
      <c r="I138" s="76" t="str">
        <f t="shared" si="8"/>
        <v/>
      </c>
    </row>
    <row r="139" spans="1:9" s="76" customFormat="1" ht="17.399999999999999">
      <c r="A139" s="74"/>
      <c r="B139" s="75"/>
      <c r="C139" s="76" t="str">
        <f t="shared" si="6"/>
        <v/>
      </c>
      <c r="D139" s="74"/>
      <c r="E139" s="75"/>
      <c r="F139" s="76" t="str">
        <f t="shared" si="7"/>
        <v/>
      </c>
      <c r="G139" s="74"/>
      <c r="H139" s="75"/>
      <c r="I139" s="76" t="str">
        <f t="shared" si="8"/>
        <v/>
      </c>
    </row>
    <row r="140" spans="1:9" s="76" customFormat="1" ht="17.399999999999999">
      <c r="A140" s="74"/>
      <c r="B140" s="75"/>
      <c r="C140" s="76" t="str">
        <f t="shared" si="6"/>
        <v/>
      </c>
      <c r="D140" s="74"/>
      <c r="E140" s="75"/>
      <c r="F140" s="76" t="str">
        <f t="shared" si="7"/>
        <v/>
      </c>
      <c r="G140" s="74"/>
      <c r="H140" s="75"/>
      <c r="I140" s="76" t="str">
        <f t="shared" si="8"/>
        <v/>
      </c>
    </row>
    <row r="141" spans="1:9" s="76" customFormat="1" ht="17.399999999999999">
      <c r="A141" s="74"/>
      <c r="B141" s="75"/>
      <c r="C141" s="76" t="str">
        <f t="shared" si="6"/>
        <v/>
      </c>
      <c r="D141" s="74"/>
      <c r="E141" s="75"/>
      <c r="F141" s="76" t="str">
        <f t="shared" si="7"/>
        <v/>
      </c>
      <c r="G141" s="74"/>
      <c r="H141" s="75"/>
      <c r="I141" s="76" t="str">
        <f t="shared" si="8"/>
        <v/>
      </c>
    </row>
    <row r="142" spans="1:9" s="76" customFormat="1" ht="17.399999999999999">
      <c r="A142" s="74"/>
      <c r="B142" s="75"/>
      <c r="C142" s="76" t="str">
        <f t="shared" si="6"/>
        <v/>
      </c>
      <c r="D142" s="74"/>
      <c r="E142" s="75"/>
      <c r="F142" s="76" t="str">
        <f t="shared" si="7"/>
        <v/>
      </c>
      <c r="G142" s="74"/>
      <c r="H142" s="75"/>
      <c r="I142" s="76" t="str">
        <f t="shared" si="8"/>
        <v/>
      </c>
    </row>
    <row r="143" spans="1:9" s="76" customFormat="1" ht="17.399999999999999">
      <c r="A143" s="74"/>
      <c r="B143" s="75"/>
      <c r="C143" s="76" t="str">
        <f t="shared" si="6"/>
        <v/>
      </c>
      <c r="D143" s="74"/>
      <c r="E143" s="75"/>
      <c r="F143" s="76" t="str">
        <f t="shared" si="7"/>
        <v/>
      </c>
      <c r="G143" s="74"/>
      <c r="H143" s="75"/>
      <c r="I143" s="76" t="str">
        <f t="shared" si="8"/>
        <v/>
      </c>
    </row>
    <row r="144" spans="1:9" s="76" customFormat="1" ht="17.399999999999999">
      <c r="A144" s="74"/>
      <c r="B144" s="75"/>
      <c r="C144" s="76" t="str">
        <f t="shared" si="6"/>
        <v/>
      </c>
      <c r="D144" s="74"/>
      <c r="E144" s="75"/>
      <c r="F144" s="76" t="str">
        <f t="shared" si="7"/>
        <v/>
      </c>
      <c r="G144" s="74"/>
      <c r="H144" s="75"/>
      <c r="I144" s="76" t="str">
        <f t="shared" si="8"/>
        <v/>
      </c>
    </row>
    <row r="145" spans="1:9" s="76" customFormat="1" ht="17.399999999999999">
      <c r="A145" s="74"/>
      <c r="B145" s="75"/>
      <c r="C145" s="76" t="str">
        <f t="shared" si="6"/>
        <v/>
      </c>
      <c r="D145" s="74"/>
      <c r="E145" s="75"/>
      <c r="F145" s="76" t="str">
        <f t="shared" si="7"/>
        <v/>
      </c>
      <c r="G145" s="74"/>
      <c r="H145" s="75"/>
      <c r="I145" s="76" t="str">
        <f t="shared" si="8"/>
        <v/>
      </c>
    </row>
    <row r="146" spans="1:9" s="76" customFormat="1" ht="17.399999999999999">
      <c r="A146" s="74"/>
      <c r="B146" s="75"/>
      <c r="C146" s="76" t="str">
        <f t="shared" si="6"/>
        <v/>
      </c>
      <c r="D146" s="74"/>
      <c r="E146" s="75"/>
      <c r="F146" s="76" t="str">
        <f t="shared" si="7"/>
        <v/>
      </c>
      <c r="G146" s="74"/>
      <c r="H146" s="75"/>
      <c r="I146" s="76" t="str">
        <f t="shared" si="8"/>
        <v/>
      </c>
    </row>
    <row r="147" spans="1:9" s="76" customFormat="1" ht="17.399999999999999">
      <c r="A147" s="74"/>
      <c r="B147" s="75"/>
      <c r="C147" s="76" t="str">
        <f t="shared" si="6"/>
        <v/>
      </c>
      <c r="D147" s="74"/>
      <c r="E147" s="75"/>
      <c r="F147" s="76" t="str">
        <f t="shared" si="7"/>
        <v/>
      </c>
      <c r="G147" s="74"/>
      <c r="H147" s="75"/>
      <c r="I147" s="76" t="str">
        <f t="shared" si="8"/>
        <v/>
      </c>
    </row>
    <row r="148" spans="1:9" s="76" customFormat="1" ht="17.399999999999999">
      <c r="A148" s="74"/>
      <c r="B148" s="75"/>
      <c r="C148" s="76" t="str">
        <f t="shared" si="6"/>
        <v/>
      </c>
      <c r="D148" s="74"/>
      <c r="E148" s="75"/>
      <c r="F148" s="76" t="str">
        <f t="shared" si="7"/>
        <v/>
      </c>
      <c r="G148" s="74"/>
      <c r="H148" s="75"/>
      <c r="I148" s="76" t="str">
        <f t="shared" si="8"/>
        <v/>
      </c>
    </row>
    <row r="149" spans="1:9" s="76" customFormat="1" ht="17.399999999999999">
      <c r="A149" s="74"/>
      <c r="B149" s="75"/>
      <c r="C149" s="76" t="str">
        <f t="shared" si="6"/>
        <v/>
      </c>
      <c r="D149" s="74"/>
      <c r="E149" s="75"/>
      <c r="F149" s="76" t="str">
        <f t="shared" si="7"/>
        <v/>
      </c>
      <c r="G149" s="74"/>
      <c r="H149" s="75"/>
      <c r="I149" s="76" t="str">
        <f t="shared" si="8"/>
        <v/>
      </c>
    </row>
    <row r="150" spans="1:9" s="76" customFormat="1" ht="17.399999999999999">
      <c r="A150" s="74"/>
      <c r="B150" s="75"/>
      <c r="C150" s="76" t="str">
        <f t="shared" si="6"/>
        <v/>
      </c>
      <c r="D150" s="74"/>
      <c r="E150" s="75"/>
      <c r="F150" s="76" t="str">
        <f t="shared" si="7"/>
        <v/>
      </c>
      <c r="G150" s="74"/>
      <c r="H150" s="75"/>
      <c r="I150" s="76" t="str">
        <f t="shared" si="8"/>
        <v/>
      </c>
    </row>
    <row r="151" spans="1:9" s="76" customFormat="1" ht="17.399999999999999">
      <c r="A151" s="74"/>
      <c r="B151" s="75"/>
      <c r="C151" s="76" t="str">
        <f t="shared" si="6"/>
        <v/>
      </c>
      <c r="D151" s="74"/>
      <c r="E151" s="75"/>
      <c r="F151" s="76" t="str">
        <f t="shared" si="7"/>
        <v/>
      </c>
      <c r="G151" s="74"/>
      <c r="H151" s="75"/>
      <c r="I151" s="76" t="str">
        <f t="shared" si="8"/>
        <v/>
      </c>
    </row>
    <row r="152" spans="1:9" s="76" customFormat="1" ht="17.399999999999999">
      <c r="A152" s="74"/>
      <c r="B152" s="75"/>
      <c r="C152" s="76" t="str">
        <f t="shared" si="6"/>
        <v/>
      </c>
      <c r="D152" s="74"/>
      <c r="E152" s="75"/>
      <c r="F152" s="76" t="str">
        <f t="shared" si="7"/>
        <v/>
      </c>
      <c r="G152" s="74"/>
      <c r="H152" s="75"/>
      <c r="I152" s="76" t="str">
        <f t="shared" si="8"/>
        <v/>
      </c>
    </row>
    <row r="153" spans="1:9" s="76" customFormat="1" ht="17.399999999999999">
      <c r="A153" s="74"/>
      <c r="B153" s="75"/>
      <c r="C153" s="76" t="str">
        <f t="shared" si="6"/>
        <v/>
      </c>
      <c r="D153" s="74"/>
      <c r="E153" s="75"/>
      <c r="F153" s="76" t="str">
        <f t="shared" si="7"/>
        <v/>
      </c>
      <c r="G153" s="74"/>
      <c r="H153" s="75"/>
      <c r="I153" s="76" t="str">
        <f t="shared" si="8"/>
        <v/>
      </c>
    </row>
    <row r="154" spans="1:9" s="76" customFormat="1" ht="17.399999999999999">
      <c r="A154" s="74"/>
      <c r="B154" s="75"/>
      <c r="C154" s="76" t="str">
        <f t="shared" si="6"/>
        <v/>
      </c>
      <c r="D154" s="74"/>
      <c r="E154" s="75"/>
      <c r="F154" s="76" t="str">
        <f t="shared" si="7"/>
        <v/>
      </c>
      <c r="G154" s="74"/>
      <c r="H154" s="75"/>
      <c r="I154" s="76" t="str">
        <f t="shared" si="8"/>
        <v/>
      </c>
    </row>
    <row r="155" spans="1:9" s="76" customFormat="1" ht="17.399999999999999">
      <c r="A155" s="74"/>
      <c r="B155" s="75"/>
      <c r="C155" s="76" t="str">
        <f t="shared" si="6"/>
        <v/>
      </c>
      <c r="D155" s="74"/>
      <c r="E155" s="75"/>
      <c r="F155" s="76" t="str">
        <f t="shared" si="7"/>
        <v/>
      </c>
      <c r="G155" s="74"/>
      <c r="H155" s="75"/>
      <c r="I155" s="76" t="str">
        <f t="shared" si="8"/>
        <v/>
      </c>
    </row>
    <row r="156" spans="1:9" s="76" customFormat="1" ht="17.399999999999999">
      <c r="A156" s="74"/>
      <c r="B156" s="75"/>
      <c r="C156" s="76" t="str">
        <f t="shared" si="6"/>
        <v/>
      </c>
      <c r="D156" s="74"/>
      <c r="E156" s="75"/>
      <c r="F156" s="76" t="str">
        <f t="shared" si="7"/>
        <v/>
      </c>
      <c r="G156" s="74"/>
      <c r="H156" s="75"/>
      <c r="I156" s="76" t="str">
        <f t="shared" si="8"/>
        <v/>
      </c>
    </row>
    <row r="157" spans="1:9" s="76" customFormat="1" ht="17.399999999999999">
      <c r="A157" s="74"/>
      <c r="B157" s="75"/>
      <c r="C157" s="76" t="str">
        <f t="shared" si="6"/>
        <v/>
      </c>
      <c r="D157" s="74"/>
      <c r="E157" s="75"/>
      <c r="F157" s="76" t="str">
        <f t="shared" si="7"/>
        <v/>
      </c>
      <c r="G157" s="74"/>
      <c r="H157" s="75"/>
      <c r="I157" s="76" t="str">
        <f t="shared" si="8"/>
        <v/>
      </c>
    </row>
    <row r="158" spans="1:9" s="76" customFormat="1" ht="17.399999999999999">
      <c r="A158" s="74"/>
      <c r="B158" s="75"/>
      <c r="C158" s="76" t="str">
        <f t="shared" si="6"/>
        <v/>
      </c>
      <c r="D158" s="74"/>
      <c r="E158" s="75"/>
      <c r="F158" s="76" t="str">
        <f t="shared" si="7"/>
        <v/>
      </c>
      <c r="G158" s="74"/>
      <c r="H158" s="75"/>
      <c r="I158" s="76" t="str">
        <f t="shared" si="8"/>
        <v/>
      </c>
    </row>
    <row r="159" spans="1:9" s="76" customFormat="1" ht="17.399999999999999">
      <c r="A159" s="74"/>
      <c r="B159" s="75"/>
      <c r="C159" s="76" t="str">
        <f t="shared" si="6"/>
        <v/>
      </c>
      <c r="D159" s="74"/>
      <c r="E159" s="75"/>
      <c r="F159" s="76" t="str">
        <f t="shared" si="7"/>
        <v/>
      </c>
      <c r="G159" s="74"/>
      <c r="H159" s="75"/>
      <c r="I159" s="76" t="str">
        <f t="shared" si="8"/>
        <v/>
      </c>
    </row>
    <row r="160" spans="1:9" s="76" customFormat="1" ht="17.399999999999999">
      <c r="A160" s="74"/>
      <c r="B160" s="75"/>
      <c r="C160" s="76" t="str">
        <f t="shared" si="6"/>
        <v/>
      </c>
      <c r="D160" s="74"/>
      <c r="E160" s="75"/>
      <c r="F160" s="76" t="str">
        <f t="shared" si="7"/>
        <v/>
      </c>
      <c r="G160" s="74"/>
      <c r="H160" s="75"/>
      <c r="I160" s="76" t="str">
        <f t="shared" si="8"/>
        <v/>
      </c>
    </row>
    <row r="161" spans="1:9" s="76" customFormat="1" ht="17.399999999999999">
      <c r="A161" s="74"/>
      <c r="B161" s="75"/>
      <c r="C161" s="76" t="str">
        <f t="shared" si="6"/>
        <v/>
      </c>
      <c r="D161" s="74"/>
      <c r="E161" s="75"/>
      <c r="F161" s="76" t="str">
        <f t="shared" si="7"/>
        <v/>
      </c>
      <c r="G161" s="74"/>
      <c r="H161" s="75"/>
      <c r="I161" s="76" t="str">
        <f t="shared" si="8"/>
        <v/>
      </c>
    </row>
    <row r="162" spans="1:9" s="76" customFormat="1" ht="17.399999999999999">
      <c r="A162" s="74"/>
      <c r="B162" s="75"/>
      <c r="C162" s="76" t="str">
        <f t="shared" si="6"/>
        <v/>
      </c>
      <c r="D162" s="74"/>
      <c r="E162" s="75"/>
      <c r="F162" s="76" t="str">
        <f t="shared" si="7"/>
        <v/>
      </c>
      <c r="G162" s="74"/>
      <c r="H162" s="75"/>
      <c r="I162" s="76" t="str">
        <f t="shared" si="8"/>
        <v/>
      </c>
    </row>
    <row r="163" spans="1:9" s="76" customFormat="1" ht="17.399999999999999">
      <c r="A163" s="74"/>
      <c r="B163" s="75"/>
      <c r="C163" s="76" t="str">
        <f t="shared" si="6"/>
        <v/>
      </c>
      <c r="D163" s="74"/>
      <c r="E163" s="75"/>
      <c r="F163" s="76" t="str">
        <f t="shared" si="7"/>
        <v/>
      </c>
      <c r="G163" s="74"/>
      <c r="H163" s="75"/>
      <c r="I163" s="76" t="str">
        <f t="shared" si="8"/>
        <v/>
      </c>
    </row>
    <row r="164" spans="1:9" s="76" customFormat="1" ht="17.399999999999999">
      <c r="A164" s="74"/>
      <c r="B164" s="75"/>
      <c r="C164" s="76" t="str">
        <f t="shared" si="6"/>
        <v/>
      </c>
      <c r="D164" s="74"/>
      <c r="E164" s="75"/>
      <c r="F164" s="76" t="str">
        <f t="shared" si="7"/>
        <v/>
      </c>
      <c r="G164" s="74"/>
      <c r="H164" s="75"/>
      <c r="I164" s="76" t="str">
        <f t="shared" si="8"/>
        <v/>
      </c>
    </row>
    <row r="165" spans="1:9" s="76" customFormat="1" ht="17.399999999999999">
      <c r="A165" s="74"/>
      <c r="B165" s="75"/>
      <c r="C165" s="76" t="str">
        <f t="shared" si="6"/>
        <v/>
      </c>
      <c r="D165" s="74"/>
      <c r="E165" s="75"/>
      <c r="F165" s="76" t="str">
        <f t="shared" si="7"/>
        <v/>
      </c>
      <c r="G165" s="74"/>
      <c r="H165" s="75"/>
      <c r="I165" s="76" t="str">
        <f t="shared" si="8"/>
        <v/>
      </c>
    </row>
    <row r="166" spans="1:9" s="76" customFormat="1" ht="17.399999999999999">
      <c r="A166" s="74"/>
      <c r="B166" s="75"/>
      <c r="C166" s="76" t="str">
        <f t="shared" si="6"/>
        <v/>
      </c>
      <c r="D166" s="74"/>
      <c r="E166" s="75"/>
      <c r="F166" s="76" t="str">
        <f t="shared" si="7"/>
        <v/>
      </c>
      <c r="G166" s="74"/>
      <c r="H166" s="75"/>
      <c r="I166" s="76" t="str">
        <f t="shared" si="8"/>
        <v/>
      </c>
    </row>
    <row r="167" spans="1:9" s="76" customFormat="1" ht="17.399999999999999">
      <c r="A167" s="74"/>
      <c r="B167" s="75"/>
      <c r="C167" s="76" t="str">
        <f t="shared" si="6"/>
        <v/>
      </c>
      <c r="D167" s="74"/>
      <c r="E167" s="75"/>
      <c r="F167" s="76" t="str">
        <f t="shared" si="7"/>
        <v/>
      </c>
      <c r="G167" s="74"/>
      <c r="H167" s="75"/>
      <c r="I167" s="76" t="str">
        <f t="shared" si="8"/>
        <v/>
      </c>
    </row>
    <row r="168" spans="1:9" s="76" customFormat="1" ht="17.399999999999999">
      <c r="A168" s="74"/>
      <c r="B168" s="75"/>
      <c r="C168" s="76" t="str">
        <f t="shared" si="6"/>
        <v/>
      </c>
      <c r="D168" s="74"/>
      <c r="E168" s="75"/>
      <c r="F168" s="76" t="str">
        <f t="shared" si="7"/>
        <v/>
      </c>
      <c r="G168" s="74"/>
      <c r="H168" s="75"/>
      <c r="I168" s="76" t="str">
        <f t="shared" si="8"/>
        <v/>
      </c>
    </row>
    <row r="169" spans="1:9" s="76" customFormat="1" ht="17.399999999999999">
      <c r="A169" s="74"/>
      <c r="B169" s="75"/>
      <c r="C169" s="76" t="str">
        <f t="shared" si="6"/>
        <v/>
      </c>
      <c r="D169" s="74"/>
      <c r="E169" s="75"/>
      <c r="F169" s="76" t="str">
        <f t="shared" si="7"/>
        <v/>
      </c>
      <c r="G169" s="74"/>
      <c r="H169" s="75"/>
      <c r="I169" s="76" t="str">
        <f t="shared" si="8"/>
        <v/>
      </c>
    </row>
    <row r="170" spans="1:9" s="76" customFormat="1" ht="17.399999999999999">
      <c r="A170" s="74"/>
      <c r="B170" s="75"/>
      <c r="C170" s="76" t="str">
        <f t="shared" si="6"/>
        <v/>
      </c>
      <c r="D170" s="74"/>
      <c r="E170" s="75"/>
      <c r="F170" s="76" t="str">
        <f t="shared" si="7"/>
        <v/>
      </c>
      <c r="G170" s="74"/>
      <c r="H170" s="75"/>
      <c r="I170" s="76" t="str">
        <f t="shared" si="8"/>
        <v/>
      </c>
    </row>
    <row r="171" spans="1:9" s="76" customFormat="1" ht="17.399999999999999">
      <c r="A171" s="74"/>
      <c r="B171" s="75"/>
      <c r="C171" s="76" t="str">
        <f t="shared" si="6"/>
        <v/>
      </c>
      <c r="D171" s="74"/>
      <c r="E171" s="75"/>
      <c r="F171" s="76" t="str">
        <f t="shared" si="7"/>
        <v/>
      </c>
      <c r="G171" s="74"/>
      <c r="H171" s="75"/>
      <c r="I171" s="76" t="str">
        <f t="shared" si="8"/>
        <v/>
      </c>
    </row>
    <row r="172" spans="1:9" s="76" customFormat="1" ht="17.399999999999999">
      <c r="A172" s="74"/>
      <c r="B172" s="75"/>
      <c r="C172" s="76" t="str">
        <f t="shared" si="6"/>
        <v/>
      </c>
      <c r="D172" s="74"/>
      <c r="E172" s="75"/>
      <c r="F172" s="76" t="str">
        <f t="shared" si="7"/>
        <v/>
      </c>
      <c r="G172" s="74"/>
      <c r="H172" s="75"/>
      <c r="I172" s="76" t="str">
        <f t="shared" si="8"/>
        <v/>
      </c>
    </row>
    <row r="173" spans="1:9" s="76" customFormat="1" ht="17.399999999999999">
      <c r="A173" s="74"/>
      <c r="B173" s="75"/>
      <c r="C173" s="76" t="str">
        <f t="shared" si="6"/>
        <v/>
      </c>
      <c r="D173" s="74"/>
      <c r="E173" s="75"/>
      <c r="F173" s="76" t="str">
        <f t="shared" si="7"/>
        <v/>
      </c>
      <c r="G173" s="74"/>
      <c r="H173" s="75"/>
      <c r="I173" s="76" t="str">
        <f t="shared" si="8"/>
        <v/>
      </c>
    </row>
    <row r="174" spans="1:9" s="76" customFormat="1" ht="17.399999999999999">
      <c r="A174" s="74"/>
      <c r="B174" s="75"/>
      <c r="C174" s="76" t="str">
        <f t="shared" si="6"/>
        <v/>
      </c>
      <c r="D174" s="74"/>
      <c r="E174" s="75"/>
      <c r="F174" s="76" t="str">
        <f t="shared" si="7"/>
        <v/>
      </c>
      <c r="G174" s="74"/>
      <c r="H174" s="75"/>
      <c r="I174" s="76" t="str">
        <f t="shared" si="8"/>
        <v/>
      </c>
    </row>
    <row r="175" spans="1:9" s="76" customFormat="1" ht="17.399999999999999">
      <c r="A175" s="74"/>
      <c r="B175" s="75"/>
      <c r="C175" s="76" t="str">
        <f t="shared" si="6"/>
        <v/>
      </c>
      <c r="D175" s="74"/>
      <c r="E175" s="75"/>
      <c r="F175" s="76" t="str">
        <f t="shared" si="7"/>
        <v/>
      </c>
      <c r="G175" s="74"/>
      <c r="H175" s="75"/>
      <c r="I175" s="76" t="str">
        <f t="shared" si="8"/>
        <v/>
      </c>
    </row>
    <row r="176" spans="1:9" s="76" customFormat="1" ht="17.399999999999999">
      <c r="A176" s="74"/>
      <c r="B176" s="75"/>
      <c r="C176" s="76" t="str">
        <f t="shared" si="6"/>
        <v/>
      </c>
      <c r="D176" s="74"/>
      <c r="E176" s="75"/>
      <c r="F176" s="76" t="str">
        <f t="shared" si="7"/>
        <v/>
      </c>
      <c r="G176" s="74"/>
      <c r="H176" s="75"/>
      <c r="I176" s="76" t="str">
        <f t="shared" si="8"/>
        <v/>
      </c>
    </row>
    <row r="177" spans="1:9" s="76" customFormat="1" ht="17.399999999999999">
      <c r="A177" s="74"/>
      <c r="B177" s="75"/>
      <c r="C177" s="76" t="str">
        <f t="shared" si="6"/>
        <v/>
      </c>
      <c r="D177" s="74"/>
      <c r="E177" s="75"/>
      <c r="F177" s="76" t="str">
        <f t="shared" si="7"/>
        <v/>
      </c>
      <c r="G177" s="74"/>
      <c r="H177" s="75"/>
      <c r="I177" s="76" t="str">
        <f t="shared" si="8"/>
        <v/>
      </c>
    </row>
    <row r="178" spans="1:9" s="76" customFormat="1" ht="17.399999999999999">
      <c r="A178" s="74"/>
      <c r="B178" s="75"/>
      <c r="C178" s="76" t="str">
        <f t="shared" si="6"/>
        <v/>
      </c>
      <c r="D178" s="74"/>
      <c r="E178" s="75"/>
      <c r="F178" s="76" t="str">
        <f t="shared" si="7"/>
        <v/>
      </c>
      <c r="G178" s="74"/>
      <c r="H178" s="75"/>
      <c r="I178" s="76" t="str">
        <f t="shared" si="8"/>
        <v/>
      </c>
    </row>
    <row r="179" spans="1:9" s="76" customFormat="1" ht="17.399999999999999">
      <c r="A179" s="74"/>
      <c r="B179" s="75"/>
      <c r="C179" s="76" t="str">
        <f t="shared" si="6"/>
        <v/>
      </c>
      <c r="D179" s="74"/>
      <c r="E179" s="75"/>
      <c r="F179" s="76" t="str">
        <f t="shared" si="7"/>
        <v/>
      </c>
      <c r="G179" s="74"/>
      <c r="H179" s="75"/>
      <c r="I179" s="76" t="str">
        <f t="shared" si="8"/>
        <v/>
      </c>
    </row>
    <row r="180" spans="1:9" s="76" customFormat="1" ht="17.399999999999999">
      <c r="A180" s="74"/>
      <c r="B180" s="75"/>
      <c r="C180" s="76" t="str">
        <f t="shared" si="6"/>
        <v/>
      </c>
      <c r="D180" s="74"/>
      <c r="E180" s="75"/>
      <c r="F180" s="76" t="str">
        <f t="shared" si="7"/>
        <v/>
      </c>
      <c r="G180" s="74"/>
      <c r="H180" s="75"/>
      <c r="I180" s="76" t="str">
        <f t="shared" si="8"/>
        <v/>
      </c>
    </row>
    <row r="181" spans="1:9" s="76" customFormat="1" ht="17.399999999999999">
      <c r="A181" s="74"/>
      <c r="B181" s="75"/>
      <c r="C181" s="76" t="str">
        <f t="shared" si="6"/>
        <v/>
      </c>
      <c r="D181" s="74"/>
      <c r="E181" s="75"/>
      <c r="F181" s="76" t="str">
        <f t="shared" si="7"/>
        <v/>
      </c>
      <c r="G181" s="74"/>
      <c r="H181" s="75"/>
      <c r="I181" s="76" t="str">
        <f t="shared" si="8"/>
        <v/>
      </c>
    </row>
    <row r="182" spans="1:9" s="76" customFormat="1" ht="17.399999999999999">
      <c r="A182" s="74"/>
      <c r="B182" s="75"/>
      <c r="C182" s="76" t="str">
        <f t="shared" si="6"/>
        <v/>
      </c>
      <c r="D182" s="74"/>
      <c r="E182" s="75"/>
      <c r="F182" s="76" t="str">
        <f t="shared" si="7"/>
        <v/>
      </c>
      <c r="G182" s="74"/>
      <c r="H182" s="75"/>
      <c r="I182" s="76" t="str">
        <f t="shared" si="8"/>
        <v/>
      </c>
    </row>
    <row r="183" spans="1:9" s="76" customFormat="1" ht="17.399999999999999">
      <c r="A183" s="74"/>
      <c r="B183" s="75"/>
      <c r="C183" s="76" t="str">
        <f t="shared" si="6"/>
        <v/>
      </c>
      <c r="D183" s="74"/>
      <c r="E183" s="75"/>
      <c r="F183" s="76" t="str">
        <f t="shared" si="7"/>
        <v/>
      </c>
      <c r="G183" s="74"/>
      <c r="H183" s="75"/>
      <c r="I183" s="76" t="str">
        <f t="shared" si="8"/>
        <v/>
      </c>
    </row>
    <row r="184" spans="1:9" s="76" customFormat="1" ht="17.399999999999999">
      <c r="A184" s="74"/>
      <c r="B184" s="75"/>
      <c r="C184" s="76" t="str">
        <f t="shared" si="6"/>
        <v/>
      </c>
      <c r="D184" s="74"/>
      <c r="E184" s="75"/>
      <c r="F184" s="76" t="str">
        <f t="shared" si="7"/>
        <v/>
      </c>
      <c r="G184" s="74"/>
      <c r="H184" s="75"/>
      <c r="I184" s="76" t="str">
        <f t="shared" si="8"/>
        <v/>
      </c>
    </row>
    <row r="185" spans="1:9" s="76" customFormat="1" ht="17.399999999999999">
      <c r="A185" s="74"/>
      <c r="B185" s="75"/>
      <c r="C185" s="76" t="str">
        <f t="shared" si="6"/>
        <v/>
      </c>
      <c r="D185" s="74"/>
      <c r="E185" s="75"/>
      <c r="F185" s="76" t="str">
        <f t="shared" si="7"/>
        <v/>
      </c>
      <c r="G185" s="74"/>
      <c r="H185" s="75"/>
      <c r="I185" s="76" t="str">
        <f t="shared" si="8"/>
        <v/>
      </c>
    </row>
    <row r="186" spans="1:9" s="76" customFormat="1" ht="17.399999999999999">
      <c r="A186" s="74"/>
      <c r="B186" s="75"/>
      <c r="C186" s="76" t="str">
        <f t="shared" si="6"/>
        <v/>
      </c>
      <c r="D186" s="74"/>
      <c r="E186" s="75"/>
      <c r="F186" s="76" t="str">
        <f t="shared" si="7"/>
        <v/>
      </c>
      <c r="G186" s="74"/>
      <c r="H186" s="75"/>
      <c r="I186" s="76" t="str">
        <f t="shared" si="8"/>
        <v/>
      </c>
    </row>
    <row r="187" spans="1:9" s="76" customFormat="1" ht="17.399999999999999">
      <c r="A187" s="74"/>
      <c r="B187" s="75"/>
      <c r="C187" s="76" t="str">
        <f t="shared" si="6"/>
        <v/>
      </c>
      <c r="D187" s="74"/>
      <c r="E187" s="75"/>
      <c r="F187" s="76" t="str">
        <f t="shared" si="7"/>
        <v/>
      </c>
      <c r="G187" s="74"/>
      <c r="H187" s="75"/>
      <c r="I187" s="76" t="str">
        <f t="shared" si="8"/>
        <v/>
      </c>
    </row>
    <row r="188" spans="1:9" s="76" customFormat="1" ht="17.399999999999999">
      <c r="A188" s="74"/>
      <c r="B188" s="75"/>
      <c r="C188" s="76" t="str">
        <f t="shared" si="6"/>
        <v/>
      </c>
      <c r="D188" s="74"/>
      <c r="E188" s="75"/>
      <c r="F188" s="76" t="str">
        <f t="shared" si="7"/>
        <v/>
      </c>
      <c r="G188" s="74"/>
      <c r="H188" s="75"/>
      <c r="I188" s="76" t="str">
        <f t="shared" si="8"/>
        <v/>
      </c>
    </row>
    <row r="189" spans="1:9" s="76" customFormat="1" ht="17.399999999999999">
      <c r="A189" s="74"/>
      <c r="B189" s="75"/>
      <c r="C189" s="76" t="str">
        <f t="shared" si="6"/>
        <v/>
      </c>
      <c r="D189" s="74"/>
      <c r="E189" s="75"/>
      <c r="F189" s="76" t="str">
        <f t="shared" si="7"/>
        <v/>
      </c>
      <c r="G189" s="74"/>
      <c r="H189" s="75"/>
      <c r="I189" s="76" t="str">
        <f t="shared" si="8"/>
        <v/>
      </c>
    </row>
    <row r="190" spans="1:9" s="76" customFormat="1" ht="17.399999999999999">
      <c r="A190" s="74"/>
      <c r="B190" s="75"/>
      <c r="C190" s="76" t="str">
        <f t="shared" si="6"/>
        <v/>
      </c>
      <c r="D190" s="74"/>
      <c r="E190" s="75"/>
      <c r="F190" s="76" t="str">
        <f t="shared" si="7"/>
        <v/>
      </c>
      <c r="G190" s="74"/>
      <c r="H190" s="75"/>
      <c r="I190" s="76" t="str">
        <f t="shared" si="8"/>
        <v/>
      </c>
    </row>
    <row r="191" spans="1:9" s="76" customFormat="1" ht="17.399999999999999">
      <c r="A191" s="74"/>
      <c r="B191" s="75"/>
      <c r="C191" s="76" t="str">
        <f t="shared" si="6"/>
        <v/>
      </c>
      <c r="D191" s="74"/>
      <c r="E191" s="75"/>
      <c r="F191" s="76" t="str">
        <f t="shared" si="7"/>
        <v/>
      </c>
      <c r="G191" s="74"/>
      <c r="H191" s="75"/>
      <c r="I191" s="76" t="str">
        <f t="shared" si="8"/>
        <v/>
      </c>
    </row>
    <row r="192" spans="1:9" s="76" customFormat="1" ht="17.399999999999999">
      <c r="A192" s="74"/>
      <c r="B192" s="75"/>
      <c r="C192" s="76" t="str">
        <f t="shared" si="6"/>
        <v/>
      </c>
      <c r="D192" s="74"/>
      <c r="E192" s="75"/>
      <c r="F192" s="76" t="str">
        <f t="shared" si="7"/>
        <v/>
      </c>
      <c r="G192" s="74"/>
      <c r="H192" s="75"/>
      <c r="I192" s="76" t="str">
        <f t="shared" si="8"/>
        <v/>
      </c>
    </row>
    <row r="193" spans="1:9" s="76" customFormat="1" ht="17.399999999999999">
      <c r="A193" s="74"/>
      <c r="B193" s="75"/>
      <c r="C193" s="76" t="str">
        <f t="shared" si="6"/>
        <v/>
      </c>
      <c r="D193" s="74"/>
      <c r="E193" s="75"/>
      <c r="F193" s="76" t="str">
        <f t="shared" si="7"/>
        <v/>
      </c>
      <c r="G193" s="74"/>
      <c r="H193" s="75"/>
      <c r="I193" s="76" t="str">
        <f t="shared" si="8"/>
        <v/>
      </c>
    </row>
    <row r="194" spans="1:9" s="76" customFormat="1" ht="17.399999999999999">
      <c r="A194" s="74"/>
      <c r="B194" s="75"/>
      <c r="C194" s="76" t="str">
        <f t="shared" si="6"/>
        <v/>
      </c>
      <c r="D194" s="74"/>
      <c r="E194" s="75"/>
      <c r="F194" s="76" t="str">
        <f t="shared" si="7"/>
        <v/>
      </c>
      <c r="G194" s="74"/>
      <c r="H194" s="75"/>
      <c r="I194" s="76" t="str">
        <f t="shared" si="8"/>
        <v/>
      </c>
    </row>
    <row r="195" spans="1:9" s="76" customFormat="1" ht="17.399999999999999">
      <c r="A195" s="74"/>
      <c r="B195" s="75"/>
      <c r="C195" s="76" t="str">
        <f t="shared" si="6"/>
        <v/>
      </c>
      <c r="D195" s="74"/>
      <c r="E195" s="75"/>
      <c r="F195" s="76" t="str">
        <f t="shared" si="7"/>
        <v/>
      </c>
      <c r="G195" s="74"/>
      <c r="H195" s="75"/>
      <c r="I195" s="76" t="str">
        <f t="shared" si="8"/>
        <v/>
      </c>
    </row>
    <row r="196" spans="1:9" s="76" customFormat="1" ht="17.399999999999999">
      <c r="A196" s="74"/>
      <c r="B196" s="75"/>
      <c r="C196" s="76" t="str">
        <f t="shared" si="6"/>
        <v/>
      </c>
      <c r="D196" s="74"/>
      <c r="E196" s="75"/>
      <c r="F196" s="76" t="str">
        <f t="shared" si="7"/>
        <v/>
      </c>
      <c r="G196" s="74"/>
      <c r="H196" s="75"/>
      <c r="I196" s="76" t="str">
        <f t="shared" si="8"/>
        <v/>
      </c>
    </row>
    <row r="197" spans="1:9" s="76" customFormat="1" ht="17.399999999999999">
      <c r="A197" s="74"/>
      <c r="B197" s="75"/>
      <c r="C197" s="76" t="str">
        <f t="shared" ref="C197:C260" si="9">IF(B197&gt;0,TEXT(B197,"(aaa)"),"")</f>
        <v/>
      </c>
      <c r="D197" s="74"/>
      <c r="E197" s="75"/>
      <c r="F197" s="76" t="str">
        <f t="shared" ref="F197:F260" si="10">IF(E197&gt;0,TEXT(E197,"(aaa)"),"")</f>
        <v/>
      </c>
      <c r="G197" s="74"/>
      <c r="H197" s="75"/>
      <c r="I197" s="76" t="str">
        <f t="shared" ref="I197:I260" si="11">IF(H197&gt;0,TEXT(H197,"(aaa)"),"")</f>
        <v/>
      </c>
    </row>
    <row r="198" spans="1:9" s="76" customFormat="1" ht="17.399999999999999">
      <c r="A198" s="74"/>
      <c r="B198" s="75"/>
      <c r="C198" s="76" t="str">
        <f t="shared" si="9"/>
        <v/>
      </c>
      <c r="D198" s="74"/>
      <c r="E198" s="75"/>
      <c r="F198" s="76" t="str">
        <f t="shared" si="10"/>
        <v/>
      </c>
      <c r="G198" s="74"/>
      <c r="H198" s="75"/>
      <c r="I198" s="76" t="str">
        <f t="shared" si="11"/>
        <v/>
      </c>
    </row>
    <row r="199" spans="1:9" s="76" customFormat="1" ht="17.399999999999999">
      <c r="A199" s="74"/>
      <c r="B199" s="75"/>
      <c r="C199" s="76" t="str">
        <f t="shared" si="9"/>
        <v/>
      </c>
      <c r="D199" s="74"/>
      <c r="E199" s="75"/>
      <c r="F199" s="76" t="str">
        <f t="shared" si="10"/>
        <v/>
      </c>
      <c r="G199" s="74"/>
      <c r="H199" s="75"/>
      <c r="I199" s="76" t="str">
        <f t="shared" si="11"/>
        <v/>
      </c>
    </row>
    <row r="200" spans="1:9" s="76" customFormat="1" ht="17.399999999999999">
      <c r="A200" s="74"/>
      <c r="B200" s="75"/>
      <c r="C200" s="76" t="str">
        <f t="shared" si="9"/>
        <v/>
      </c>
      <c r="D200" s="74"/>
      <c r="E200" s="75"/>
      <c r="F200" s="76" t="str">
        <f t="shared" si="10"/>
        <v/>
      </c>
      <c r="G200" s="74"/>
      <c r="H200" s="75"/>
      <c r="I200" s="76" t="str">
        <f t="shared" si="11"/>
        <v/>
      </c>
    </row>
    <row r="201" spans="1:9" s="76" customFormat="1" ht="17.399999999999999">
      <c r="A201" s="74"/>
      <c r="B201" s="75"/>
      <c r="C201" s="76" t="str">
        <f t="shared" si="9"/>
        <v/>
      </c>
      <c r="D201" s="74"/>
      <c r="E201" s="75"/>
      <c r="F201" s="76" t="str">
        <f t="shared" si="10"/>
        <v/>
      </c>
      <c r="G201" s="74"/>
      <c r="H201" s="75"/>
      <c r="I201" s="76" t="str">
        <f t="shared" si="11"/>
        <v/>
      </c>
    </row>
    <row r="202" spans="1:9" s="76" customFormat="1" ht="17.399999999999999">
      <c r="A202" s="74"/>
      <c r="B202" s="75"/>
      <c r="C202" s="76" t="str">
        <f t="shared" si="9"/>
        <v/>
      </c>
      <c r="D202" s="74"/>
      <c r="E202" s="75"/>
      <c r="F202" s="76" t="str">
        <f t="shared" si="10"/>
        <v/>
      </c>
      <c r="G202" s="74"/>
      <c r="H202" s="75"/>
      <c r="I202" s="76" t="str">
        <f t="shared" si="11"/>
        <v/>
      </c>
    </row>
    <row r="203" spans="1:9" s="76" customFormat="1" ht="17.399999999999999">
      <c r="A203" s="74"/>
      <c r="B203" s="75"/>
      <c r="C203" s="76" t="str">
        <f t="shared" si="9"/>
        <v/>
      </c>
      <c r="D203" s="74"/>
      <c r="E203" s="75"/>
      <c r="F203" s="76" t="str">
        <f t="shared" si="10"/>
        <v/>
      </c>
      <c r="G203" s="74"/>
      <c r="H203" s="75"/>
      <c r="I203" s="76" t="str">
        <f t="shared" si="11"/>
        <v/>
      </c>
    </row>
    <row r="204" spans="1:9" s="76" customFormat="1" ht="17.399999999999999">
      <c r="A204" s="74"/>
      <c r="B204" s="75"/>
      <c r="C204" s="76" t="str">
        <f t="shared" si="9"/>
        <v/>
      </c>
      <c r="D204" s="74"/>
      <c r="E204" s="75"/>
      <c r="F204" s="76" t="str">
        <f t="shared" si="10"/>
        <v/>
      </c>
      <c r="G204" s="74"/>
      <c r="H204" s="75"/>
      <c r="I204" s="76" t="str">
        <f t="shared" si="11"/>
        <v/>
      </c>
    </row>
    <row r="205" spans="1:9" s="76" customFormat="1" ht="17.399999999999999">
      <c r="A205" s="74"/>
      <c r="B205" s="75"/>
      <c r="C205" s="76" t="str">
        <f t="shared" si="9"/>
        <v/>
      </c>
      <c r="D205" s="74"/>
      <c r="E205" s="75"/>
      <c r="F205" s="76" t="str">
        <f t="shared" si="10"/>
        <v/>
      </c>
      <c r="G205" s="74"/>
      <c r="H205" s="75"/>
      <c r="I205" s="76" t="str">
        <f t="shared" si="11"/>
        <v/>
      </c>
    </row>
    <row r="206" spans="1:9" s="76" customFormat="1" ht="17.399999999999999">
      <c r="A206" s="74"/>
      <c r="B206" s="75"/>
      <c r="C206" s="76" t="str">
        <f t="shared" si="9"/>
        <v/>
      </c>
      <c r="D206" s="74"/>
      <c r="E206" s="75"/>
      <c r="F206" s="76" t="str">
        <f t="shared" si="10"/>
        <v/>
      </c>
      <c r="G206" s="74"/>
      <c r="H206" s="75"/>
      <c r="I206" s="76" t="str">
        <f t="shared" si="11"/>
        <v/>
      </c>
    </row>
    <row r="207" spans="1:9" s="76" customFormat="1" ht="17.399999999999999">
      <c r="A207" s="74"/>
      <c r="B207" s="75"/>
      <c r="C207" s="76" t="str">
        <f t="shared" si="9"/>
        <v/>
      </c>
      <c r="D207" s="74"/>
      <c r="E207" s="75"/>
      <c r="F207" s="76" t="str">
        <f t="shared" si="10"/>
        <v/>
      </c>
      <c r="G207" s="74"/>
      <c r="H207" s="75"/>
      <c r="I207" s="76" t="str">
        <f t="shared" si="11"/>
        <v/>
      </c>
    </row>
    <row r="208" spans="1:9" s="76" customFormat="1" ht="17.399999999999999">
      <c r="A208" s="74"/>
      <c r="B208" s="75"/>
      <c r="C208" s="76" t="str">
        <f t="shared" si="9"/>
        <v/>
      </c>
      <c r="D208" s="74"/>
      <c r="E208" s="75"/>
      <c r="F208" s="76" t="str">
        <f t="shared" si="10"/>
        <v/>
      </c>
      <c r="G208" s="74"/>
      <c r="H208" s="75"/>
      <c r="I208" s="76" t="str">
        <f t="shared" si="11"/>
        <v/>
      </c>
    </row>
    <row r="209" spans="1:9" s="76" customFormat="1" ht="17.399999999999999">
      <c r="A209" s="74"/>
      <c r="B209" s="75"/>
      <c r="C209" s="76" t="str">
        <f t="shared" si="9"/>
        <v/>
      </c>
      <c r="D209" s="74"/>
      <c r="E209" s="75"/>
      <c r="F209" s="76" t="str">
        <f t="shared" si="10"/>
        <v/>
      </c>
      <c r="G209" s="74"/>
      <c r="H209" s="75"/>
      <c r="I209" s="76" t="str">
        <f t="shared" si="11"/>
        <v/>
      </c>
    </row>
    <row r="210" spans="1:9" s="76" customFormat="1" ht="17.399999999999999">
      <c r="A210" s="74"/>
      <c r="B210" s="75"/>
      <c r="C210" s="76" t="str">
        <f t="shared" si="9"/>
        <v/>
      </c>
      <c r="D210" s="74"/>
      <c r="E210" s="75"/>
      <c r="F210" s="76" t="str">
        <f t="shared" si="10"/>
        <v/>
      </c>
      <c r="G210" s="74"/>
      <c r="H210" s="75"/>
      <c r="I210" s="76" t="str">
        <f t="shared" si="11"/>
        <v/>
      </c>
    </row>
    <row r="211" spans="1:9" s="76" customFormat="1" ht="17.399999999999999">
      <c r="A211" s="74"/>
      <c r="B211" s="75"/>
      <c r="C211" s="76" t="str">
        <f t="shared" si="9"/>
        <v/>
      </c>
      <c r="D211" s="74"/>
      <c r="E211" s="75"/>
      <c r="F211" s="76" t="str">
        <f t="shared" si="10"/>
        <v/>
      </c>
      <c r="G211" s="74"/>
      <c r="H211" s="75"/>
      <c r="I211" s="76" t="str">
        <f t="shared" si="11"/>
        <v/>
      </c>
    </row>
    <row r="212" spans="1:9" s="76" customFormat="1" ht="17.399999999999999">
      <c r="A212" s="74"/>
      <c r="B212" s="75"/>
      <c r="C212" s="76" t="str">
        <f t="shared" si="9"/>
        <v/>
      </c>
      <c r="D212" s="74"/>
      <c r="E212" s="75"/>
      <c r="F212" s="76" t="str">
        <f t="shared" si="10"/>
        <v/>
      </c>
      <c r="G212" s="74"/>
      <c r="H212" s="75"/>
      <c r="I212" s="76" t="str">
        <f t="shared" si="11"/>
        <v/>
      </c>
    </row>
    <row r="213" spans="1:9" s="76" customFormat="1" ht="17.399999999999999">
      <c r="A213" s="74"/>
      <c r="B213" s="75"/>
      <c r="C213" s="76" t="str">
        <f t="shared" si="9"/>
        <v/>
      </c>
      <c r="D213" s="74"/>
      <c r="E213" s="75"/>
      <c r="F213" s="76" t="str">
        <f t="shared" si="10"/>
        <v/>
      </c>
      <c r="G213" s="74"/>
      <c r="H213" s="75"/>
      <c r="I213" s="76" t="str">
        <f t="shared" si="11"/>
        <v/>
      </c>
    </row>
    <row r="214" spans="1:9" s="76" customFormat="1" ht="17.399999999999999">
      <c r="A214" s="74"/>
      <c r="B214" s="75"/>
      <c r="C214" s="76" t="str">
        <f t="shared" si="9"/>
        <v/>
      </c>
      <c r="D214" s="74"/>
      <c r="E214" s="75"/>
      <c r="F214" s="76" t="str">
        <f t="shared" si="10"/>
        <v/>
      </c>
      <c r="G214" s="74"/>
      <c r="H214" s="75"/>
      <c r="I214" s="76" t="str">
        <f t="shared" si="11"/>
        <v/>
      </c>
    </row>
    <row r="215" spans="1:9" s="76" customFormat="1" ht="17.399999999999999">
      <c r="A215" s="74"/>
      <c r="B215" s="75"/>
      <c r="C215" s="76" t="str">
        <f t="shared" si="9"/>
        <v/>
      </c>
      <c r="D215" s="74"/>
      <c r="E215" s="75"/>
      <c r="F215" s="76" t="str">
        <f t="shared" si="10"/>
        <v/>
      </c>
      <c r="G215" s="74"/>
      <c r="H215" s="75"/>
      <c r="I215" s="76" t="str">
        <f t="shared" si="11"/>
        <v/>
      </c>
    </row>
    <row r="216" spans="1:9" s="76" customFormat="1" ht="17.399999999999999">
      <c r="A216" s="74"/>
      <c r="B216" s="75"/>
      <c r="C216" s="76" t="str">
        <f t="shared" si="9"/>
        <v/>
      </c>
      <c r="D216" s="74"/>
      <c r="E216" s="75"/>
      <c r="F216" s="76" t="str">
        <f t="shared" si="10"/>
        <v/>
      </c>
      <c r="G216" s="74"/>
      <c r="H216" s="75"/>
      <c r="I216" s="76" t="str">
        <f t="shared" si="11"/>
        <v/>
      </c>
    </row>
    <row r="217" spans="1:9" s="76" customFormat="1" ht="17.399999999999999">
      <c r="A217" s="74"/>
      <c r="B217" s="75"/>
      <c r="C217" s="76" t="str">
        <f t="shared" si="9"/>
        <v/>
      </c>
      <c r="D217" s="74"/>
      <c r="E217" s="75"/>
      <c r="F217" s="76" t="str">
        <f t="shared" si="10"/>
        <v/>
      </c>
      <c r="G217" s="74"/>
      <c r="H217" s="75"/>
      <c r="I217" s="76" t="str">
        <f t="shared" si="11"/>
        <v/>
      </c>
    </row>
    <row r="218" spans="1:9" s="76" customFormat="1" ht="17.399999999999999">
      <c r="A218" s="74"/>
      <c r="B218" s="75"/>
      <c r="C218" s="76" t="str">
        <f t="shared" si="9"/>
        <v/>
      </c>
      <c r="D218" s="74"/>
      <c r="E218" s="75"/>
      <c r="F218" s="76" t="str">
        <f t="shared" si="10"/>
        <v/>
      </c>
      <c r="G218" s="74"/>
      <c r="H218" s="75"/>
      <c r="I218" s="76" t="str">
        <f t="shared" si="11"/>
        <v/>
      </c>
    </row>
    <row r="219" spans="1:9" s="76" customFormat="1" ht="17.399999999999999">
      <c r="A219" s="74"/>
      <c r="B219" s="75"/>
      <c r="C219" s="76" t="str">
        <f t="shared" si="9"/>
        <v/>
      </c>
      <c r="D219" s="74"/>
      <c r="E219" s="75"/>
      <c r="F219" s="76" t="str">
        <f t="shared" si="10"/>
        <v/>
      </c>
      <c r="G219" s="74"/>
      <c r="H219" s="75"/>
      <c r="I219" s="76" t="str">
        <f t="shared" si="11"/>
        <v/>
      </c>
    </row>
    <row r="220" spans="1:9" s="76" customFormat="1" ht="17.399999999999999">
      <c r="A220" s="74"/>
      <c r="B220" s="75"/>
      <c r="C220" s="76" t="str">
        <f t="shared" si="9"/>
        <v/>
      </c>
      <c r="D220" s="74"/>
      <c r="E220" s="75"/>
      <c r="F220" s="76" t="str">
        <f t="shared" si="10"/>
        <v/>
      </c>
      <c r="G220" s="74"/>
      <c r="H220" s="75"/>
      <c r="I220" s="76" t="str">
        <f t="shared" si="11"/>
        <v/>
      </c>
    </row>
    <row r="221" spans="1:9" s="76" customFormat="1" ht="17.399999999999999">
      <c r="A221" s="74"/>
      <c r="B221" s="75"/>
      <c r="C221" s="76" t="str">
        <f t="shared" si="9"/>
        <v/>
      </c>
      <c r="D221" s="74"/>
      <c r="E221" s="75"/>
      <c r="F221" s="76" t="str">
        <f t="shared" si="10"/>
        <v/>
      </c>
      <c r="G221" s="74"/>
      <c r="H221" s="75"/>
      <c r="I221" s="76" t="str">
        <f t="shared" si="11"/>
        <v/>
      </c>
    </row>
    <row r="222" spans="1:9" s="76" customFormat="1" ht="17.399999999999999">
      <c r="A222" s="74"/>
      <c r="B222" s="75"/>
      <c r="C222" s="76" t="str">
        <f t="shared" si="9"/>
        <v/>
      </c>
      <c r="D222" s="74"/>
      <c r="E222" s="75"/>
      <c r="F222" s="76" t="str">
        <f t="shared" si="10"/>
        <v/>
      </c>
      <c r="G222" s="74"/>
      <c r="H222" s="75"/>
      <c r="I222" s="76" t="str">
        <f t="shared" si="11"/>
        <v/>
      </c>
    </row>
    <row r="223" spans="1:9" s="76" customFormat="1" ht="17.399999999999999">
      <c r="A223" s="74"/>
      <c r="B223" s="75"/>
      <c r="C223" s="76" t="str">
        <f t="shared" si="9"/>
        <v/>
      </c>
      <c r="D223" s="74"/>
      <c r="E223" s="75"/>
      <c r="F223" s="76" t="str">
        <f t="shared" si="10"/>
        <v/>
      </c>
      <c r="G223" s="74"/>
      <c r="H223" s="75"/>
      <c r="I223" s="76" t="str">
        <f t="shared" si="11"/>
        <v/>
      </c>
    </row>
    <row r="224" spans="1:9" s="76" customFormat="1" ht="17.399999999999999">
      <c r="A224" s="74"/>
      <c r="B224" s="75"/>
      <c r="C224" s="76" t="str">
        <f t="shared" si="9"/>
        <v/>
      </c>
      <c r="D224" s="74"/>
      <c r="E224" s="75"/>
      <c r="F224" s="76" t="str">
        <f t="shared" si="10"/>
        <v/>
      </c>
      <c r="G224" s="74"/>
      <c r="H224" s="75"/>
      <c r="I224" s="76" t="str">
        <f t="shared" si="11"/>
        <v/>
      </c>
    </row>
    <row r="225" spans="1:9" s="76" customFormat="1" ht="17.399999999999999">
      <c r="A225" s="74"/>
      <c r="B225" s="75"/>
      <c r="C225" s="76" t="str">
        <f t="shared" si="9"/>
        <v/>
      </c>
      <c r="D225" s="74"/>
      <c r="E225" s="75"/>
      <c r="F225" s="76" t="str">
        <f t="shared" si="10"/>
        <v/>
      </c>
      <c r="G225" s="74"/>
      <c r="H225" s="75"/>
      <c r="I225" s="76" t="str">
        <f t="shared" si="11"/>
        <v/>
      </c>
    </row>
    <row r="226" spans="1:9" s="76" customFormat="1" ht="17.399999999999999">
      <c r="A226" s="74"/>
      <c r="B226" s="75"/>
      <c r="C226" s="76" t="str">
        <f t="shared" si="9"/>
        <v/>
      </c>
      <c r="D226" s="74"/>
      <c r="E226" s="75"/>
      <c r="F226" s="76" t="str">
        <f t="shared" si="10"/>
        <v/>
      </c>
      <c r="G226" s="74"/>
      <c r="H226" s="75"/>
      <c r="I226" s="76" t="str">
        <f t="shared" si="11"/>
        <v/>
      </c>
    </row>
    <row r="227" spans="1:9" s="76" customFormat="1" ht="17.399999999999999">
      <c r="A227" s="74"/>
      <c r="B227" s="75"/>
      <c r="C227" s="76" t="str">
        <f t="shared" si="9"/>
        <v/>
      </c>
      <c r="D227" s="74"/>
      <c r="E227" s="75"/>
      <c r="F227" s="76" t="str">
        <f t="shared" si="10"/>
        <v/>
      </c>
      <c r="G227" s="74"/>
      <c r="H227" s="75"/>
      <c r="I227" s="76" t="str">
        <f t="shared" si="11"/>
        <v/>
      </c>
    </row>
    <row r="228" spans="1:9" s="76" customFormat="1" ht="17.399999999999999">
      <c r="A228" s="74"/>
      <c r="B228" s="75"/>
      <c r="C228" s="76" t="str">
        <f t="shared" si="9"/>
        <v/>
      </c>
      <c r="D228" s="74"/>
      <c r="E228" s="75"/>
      <c r="F228" s="76" t="str">
        <f t="shared" si="10"/>
        <v/>
      </c>
      <c r="G228" s="74"/>
      <c r="H228" s="75"/>
      <c r="I228" s="76" t="str">
        <f t="shared" si="11"/>
        <v/>
      </c>
    </row>
    <row r="229" spans="1:9" s="76" customFormat="1" ht="17.399999999999999">
      <c r="A229" s="74"/>
      <c r="B229" s="75"/>
      <c r="C229" s="76" t="str">
        <f t="shared" si="9"/>
        <v/>
      </c>
      <c r="D229" s="74"/>
      <c r="E229" s="75"/>
      <c r="F229" s="76" t="str">
        <f t="shared" si="10"/>
        <v/>
      </c>
      <c r="G229" s="74"/>
      <c r="H229" s="75"/>
      <c r="I229" s="76" t="str">
        <f t="shared" si="11"/>
        <v/>
      </c>
    </row>
    <row r="230" spans="1:9" s="76" customFormat="1" ht="17.399999999999999">
      <c r="A230" s="74"/>
      <c r="B230" s="75"/>
      <c r="C230" s="76" t="str">
        <f t="shared" si="9"/>
        <v/>
      </c>
      <c r="D230" s="74"/>
      <c r="E230" s="75"/>
      <c r="F230" s="76" t="str">
        <f t="shared" si="10"/>
        <v/>
      </c>
      <c r="G230" s="74"/>
      <c r="H230" s="75"/>
      <c r="I230" s="76" t="str">
        <f t="shared" si="11"/>
        <v/>
      </c>
    </row>
    <row r="231" spans="1:9" s="76" customFormat="1" ht="17.399999999999999">
      <c r="A231" s="74"/>
      <c r="B231" s="75"/>
      <c r="C231" s="76" t="str">
        <f t="shared" si="9"/>
        <v/>
      </c>
      <c r="D231" s="74"/>
      <c r="E231" s="75"/>
      <c r="F231" s="76" t="str">
        <f t="shared" si="10"/>
        <v/>
      </c>
      <c r="G231" s="74"/>
      <c r="H231" s="75"/>
      <c r="I231" s="76" t="str">
        <f t="shared" si="11"/>
        <v/>
      </c>
    </row>
    <row r="232" spans="1:9" s="76" customFormat="1" ht="17.399999999999999">
      <c r="A232" s="74"/>
      <c r="B232" s="75"/>
      <c r="C232" s="76" t="str">
        <f t="shared" si="9"/>
        <v/>
      </c>
      <c r="D232" s="74"/>
      <c r="E232" s="75"/>
      <c r="F232" s="76" t="str">
        <f t="shared" si="10"/>
        <v/>
      </c>
      <c r="G232" s="74"/>
      <c r="H232" s="75"/>
      <c r="I232" s="76" t="str">
        <f t="shared" si="11"/>
        <v/>
      </c>
    </row>
    <row r="233" spans="1:9" s="76" customFormat="1" ht="17.399999999999999">
      <c r="A233" s="74"/>
      <c r="B233" s="75"/>
      <c r="C233" s="76" t="str">
        <f t="shared" si="9"/>
        <v/>
      </c>
      <c r="D233" s="74"/>
      <c r="E233" s="75"/>
      <c r="F233" s="76" t="str">
        <f t="shared" si="10"/>
        <v/>
      </c>
      <c r="G233" s="74"/>
      <c r="H233" s="75"/>
      <c r="I233" s="76" t="str">
        <f t="shared" si="11"/>
        <v/>
      </c>
    </row>
    <row r="234" spans="1:9" s="76" customFormat="1" ht="17.399999999999999">
      <c r="A234" s="74"/>
      <c r="B234" s="75"/>
      <c r="C234" s="76" t="str">
        <f t="shared" si="9"/>
        <v/>
      </c>
      <c r="D234" s="74"/>
      <c r="E234" s="75"/>
      <c r="F234" s="76" t="str">
        <f t="shared" si="10"/>
        <v/>
      </c>
      <c r="G234" s="74"/>
      <c r="H234" s="75"/>
      <c r="I234" s="76" t="str">
        <f t="shared" si="11"/>
        <v/>
      </c>
    </row>
    <row r="235" spans="1:9" s="76" customFormat="1" ht="17.399999999999999">
      <c r="A235" s="74"/>
      <c r="B235" s="75"/>
      <c r="C235" s="76" t="str">
        <f t="shared" si="9"/>
        <v/>
      </c>
      <c r="D235" s="74"/>
      <c r="E235" s="75"/>
      <c r="F235" s="76" t="str">
        <f t="shared" si="10"/>
        <v/>
      </c>
      <c r="G235" s="74"/>
      <c r="H235" s="75"/>
      <c r="I235" s="76" t="str">
        <f t="shared" si="11"/>
        <v/>
      </c>
    </row>
    <row r="236" spans="1:9" s="76" customFormat="1" ht="17.399999999999999">
      <c r="A236" s="74"/>
      <c r="B236" s="75"/>
      <c r="C236" s="76" t="str">
        <f t="shared" si="9"/>
        <v/>
      </c>
      <c r="D236" s="74"/>
      <c r="E236" s="75"/>
      <c r="F236" s="76" t="str">
        <f t="shared" si="10"/>
        <v/>
      </c>
      <c r="G236" s="74"/>
      <c r="H236" s="75"/>
      <c r="I236" s="76" t="str">
        <f t="shared" si="11"/>
        <v/>
      </c>
    </row>
    <row r="237" spans="1:9" s="76" customFormat="1" ht="17.399999999999999">
      <c r="A237" s="74"/>
      <c r="B237" s="75"/>
      <c r="C237" s="76" t="str">
        <f t="shared" si="9"/>
        <v/>
      </c>
      <c r="D237" s="74"/>
      <c r="E237" s="75"/>
      <c r="F237" s="76" t="str">
        <f t="shared" si="10"/>
        <v/>
      </c>
      <c r="G237" s="74"/>
      <c r="H237" s="75"/>
      <c r="I237" s="76" t="str">
        <f t="shared" si="11"/>
        <v/>
      </c>
    </row>
    <row r="238" spans="1:9" s="76" customFormat="1" ht="17.399999999999999">
      <c r="A238" s="74"/>
      <c r="B238" s="75"/>
      <c r="C238" s="76" t="str">
        <f t="shared" si="9"/>
        <v/>
      </c>
      <c r="D238" s="74"/>
      <c r="E238" s="75"/>
      <c r="F238" s="76" t="str">
        <f t="shared" si="10"/>
        <v/>
      </c>
      <c r="G238" s="74"/>
      <c r="H238" s="75"/>
      <c r="I238" s="76" t="str">
        <f t="shared" si="11"/>
        <v/>
      </c>
    </row>
    <row r="239" spans="1:9" s="76" customFormat="1" ht="17.399999999999999">
      <c r="A239" s="74"/>
      <c r="B239" s="75"/>
      <c r="C239" s="76" t="str">
        <f t="shared" si="9"/>
        <v/>
      </c>
      <c r="D239" s="74"/>
      <c r="E239" s="75"/>
      <c r="F239" s="76" t="str">
        <f t="shared" si="10"/>
        <v/>
      </c>
      <c r="G239" s="74"/>
      <c r="H239" s="75"/>
      <c r="I239" s="76" t="str">
        <f t="shared" si="11"/>
        <v/>
      </c>
    </row>
    <row r="240" spans="1:9" s="76" customFormat="1" ht="17.399999999999999">
      <c r="A240" s="74"/>
      <c r="B240" s="75"/>
      <c r="C240" s="76" t="str">
        <f t="shared" si="9"/>
        <v/>
      </c>
      <c r="D240" s="74"/>
      <c r="E240" s="75"/>
      <c r="F240" s="76" t="str">
        <f t="shared" si="10"/>
        <v/>
      </c>
      <c r="G240" s="74"/>
      <c r="H240" s="75"/>
      <c r="I240" s="76" t="str">
        <f t="shared" si="11"/>
        <v/>
      </c>
    </row>
    <row r="241" spans="1:9" s="76" customFormat="1" ht="17.399999999999999">
      <c r="A241" s="74"/>
      <c r="B241" s="75"/>
      <c r="C241" s="76" t="str">
        <f t="shared" si="9"/>
        <v/>
      </c>
      <c r="D241" s="74"/>
      <c r="E241" s="75"/>
      <c r="F241" s="76" t="str">
        <f t="shared" si="10"/>
        <v/>
      </c>
      <c r="G241" s="74"/>
      <c r="H241" s="75"/>
      <c r="I241" s="76" t="str">
        <f t="shared" si="11"/>
        <v/>
      </c>
    </row>
    <row r="242" spans="1:9" s="76" customFormat="1" ht="17.399999999999999">
      <c r="A242" s="74"/>
      <c r="B242" s="75"/>
      <c r="C242" s="76" t="str">
        <f t="shared" si="9"/>
        <v/>
      </c>
      <c r="D242" s="74"/>
      <c r="E242" s="75"/>
      <c r="F242" s="76" t="str">
        <f t="shared" si="10"/>
        <v/>
      </c>
      <c r="G242" s="74"/>
      <c r="H242" s="75"/>
      <c r="I242" s="76" t="str">
        <f t="shared" si="11"/>
        <v/>
      </c>
    </row>
    <row r="243" spans="1:9" s="76" customFormat="1" ht="17.399999999999999">
      <c r="A243" s="74"/>
      <c r="B243" s="75"/>
      <c r="C243" s="76" t="str">
        <f t="shared" si="9"/>
        <v/>
      </c>
      <c r="D243" s="74"/>
      <c r="E243" s="75"/>
      <c r="F243" s="76" t="str">
        <f t="shared" si="10"/>
        <v/>
      </c>
      <c r="G243" s="74"/>
      <c r="H243" s="75"/>
      <c r="I243" s="76" t="str">
        <f t="shared" si="11"/>
        <v/>
      </c>
    </row>
    <row r="244" spans="1:9" s="76" customFormat="1" ht="17.399999999999999">
      <c r="A244" s="74"/>
      <c r="B244" s="75"/>
      <c r="C244" s="76" t="str">
        <f t="shared" si="9"/>
        <v/>
      </c>
      <c r="D244" s="74"/>
      <c r="E244" s="75"/>
      <c r="F244" s="76" t="str">
        <f t="shared" si="10"/>
        <v/>
      </c>
      <c r="G244" s="74"/>
      <c r="H244" s="75"/>
      <c r="I244" s="76" t="str">
        <f t="shared" si="11"/>
        <v/>
      </c>
    </row>
    <row r="245" spans="1:9" s="76" customFormat="1" ht="17.399999999999999">
      <c r="A245" s="74"/>
      <c r="B245" s="75"/>
      <c r="C245" s="76" t="str">
        <f t="shared" si="9"/>
        <v/>
      </c>
      <c r="D245" s="74"/>
      <c r="E245" s="75"/>
      <c r="F245" s="76" t="str">
        <f t="shared" si="10"/>
        <v/>
      </c>
      <c r="G245" s="74"/>
      <c r="H245" s="75"/>
      <c r="I245" s="76" t="str">
        <f t="shared" si="11"/>
        <v/>
      </c>
    </row>
    <row r="246" spans="1:9" s="76" customFormat="1" ht="17.399999999999999">
      <c r="A246" s="74"/>
      <c r="B246" s="75"/>
      <c r="C246" s="76" t="str">
        <f t="shared" si="9"/>
        <v/>
      </c>
      <c r="D246" s="74"/>
      <c r="E246" s="75"/>
      <c r="F246" s="76" t="str">
        <f t="shared" si="10"/>
        <v/>
      </c>
      <c r="G246" s="74"/>
      <c r="H246" s="75"/>
      <c r="I246" s="76" t="str">
        <f t="shared" si="11"/>
        <v/>
      </c>
    </row>
    <row r="247" spans="1:9" s="76" customFormat="1" ht="17.399999999999999">
      <c r="A247" s="74"/>
      <c r="B247" s="75"/>
      <c r="C247" s="76" t="str">
        <f t="shared" si="9"/>
        <v/>
      </c>
      <c r="D247" s="74"/>
      <c r="E247" s="75"/>
      <c r="F247" s="76" t="str">
        <f t="shared" si="10"/>
        <v/>
      </c>
      <c r="G247" s="74"/>
      <c r="H247" s="75"/>
      <c r="I247" s="76" t="str">
        <f t="shared" si="11"/>
        <v/>
      </c>
    </row>
    <row r="248" spans="1:9" s="76" customFormat="1" ht="17.399999999999999">
      <c r="A248" s="74"/>
      <c r="B248" s="75"/>
      <c r="C248" s="76" t="str">
        <f t="shared" si="9"/>
        <v/>
      </c>
      <c r="D248" s="74"/>
      <c r="E248" s="75"/>
      <c r="F248" s="76" t="str">
        <f t="shared" si="10"/>
        <v/>
      </c>
      <c r="G248" s="74"/>
      <c r="H248" s="75"/>
      <c r="I248" s="76" t="str">
        <f t="shared" si="11"/>
        <v/>
      </c>
    </row>
    <row r="249" spans="1:9" s="76" customFormat="1" ht="17.399999999999999">
      <c r="A249" s="74"/>
      <c r="B249" s="75"/>
      <c r="C249" s="76" t="str">
        <f t="shared" si="9"/>
        <v/>
      </c>
      <c r="D249" s="74"/>
      <c r="E249" s="75"/>
      <c r="F249" s="76" t="str">
        <f t="shared" si="10"/>
        <v/>
      </c>
      <c r="G249" s="74"/>
      <c r="H249" s="75"/>
      <c r="I249" s="76" t="str">
        <f t="shared" si="11"/>
        <v/>
      </c>
    </row>
    <row r="250" spans="1:9" s="76" customFormat="1" ht="17.399999999999999">
      <c r="A250" s="74"/>
      <c r="B250" s="75"/>
      <c r="C250" s="76" t="str">
        <f t="shared" si="9"/>
        <v/>
      </c>
      <c r="D250" s="74"/>
      <c r="E250" s="75"/>
      <c r="F250" s="76" t="str">
        <f t="shared" si="10"/>
        <v/>
      </c>
      <c r="G250" s="74"/>
      <c r="H250" s="75"/>
      <c r="I250" s="76" t="str">
        <f t="shared" si="11"/>
        <v/>
      </c>
    </row>
    <row r="251" spans="1:9" s="76" customFormat="1" ht="17.399999999999999">
      <c r="A251" s="74"/>
      <c r="B251" s="75"/>
      <c r="C251" s="76" t="str">
        <f t="shared" si="9"/>
        <v/>
      </c>
      <c r="D251" s="74"/>
      <c r="E251" s="75"/>
      <c r="F251" s="76" t="str">
        <f t="shared" si="10"/>
        <v/>
      </c>
      <c r="G251" s="74"/>
      <c r="H251" s="75"/>
      <c r="I251" s="76" t="str">
        <f t="shared" si="11"/>
        <v/>
      </c>
    </row>
    <row r="252" spans="1:9" s="76" customFormat="1" ht="17.399999999999999">
      <c r="A252" s="74"/>
      <c r="B252" s="75"/>
      <c r="C252" s="76" t="str">
        <f t="shared" si="9"/>
        <v/>
      </c>
      <c r="D252" s="74"/>
      <c r="E252" s="75"/>
      <c r="F252" s="76" t="str">
        <f t="shared" si="10"/>
        <v/>
      </c>
      <c r="G252" s="74"/>
      <c r="H252" s="75"/>
      <c r="I252" s="76" t="str">
        <f t="shared" si="11"/>
        <v/>
      </c>
    </row>
    <row r="253" spans="1:9" s="76" customFormat="1" ht="17.399999999999999">
      <c r="A253" s="74"/>
      <c r="B253" s="75"/>
      <c r="C253" s="76" t="str">
        <f t="shared" si="9"/>
        <v/>
      </c>
      <c r="D253" s="74"/>
      <c r="E253" s="75"/>
      <c r="F253" s="76" t="str">
        <f t="shared" si="10"/>
        <v/>
      </c>
      <c r="G253" s="74"/>
      <c r="H253" s="75"/>
      <c r="I253" s="76" t="str">
        <f t="shared" si="11"/>
        <v/>
      </c>
    </row>
    <row r="254" spans="1:9" s="76" customFormat="1" ht="17.399999999999999">
      <c r="A254" s="74"/>
      <c r="B254" s="75"/>
      <c r="C254" s="76" t="str">
        <f t="shared" si="9"/>
        <v/>
      </c>
      <c r="D254" s="74"/>
      <c r="E254" s="75"/>
      <c r="F254" s="76" t="str">
        <f t="shared" si="10"/>
        <v/>
      </c>
      <c r="G254" s="74"/>
      <c r="H254" s="75"/>
      <c r="I254" s="76" t="str">
        <f t="shared" si="11"/>
        <v/>
      </c>
    </row>
    <row r="255" spans="1:9" s="76" customFormat="1" ht="17.399999999999999">
      <c r="A255" s="74"/>
      <c r="B255" s="75"/>
      <c r="C255" s="76" t="str">
        <f t="shared" si="9"/>
        <v/>
      </c>
      <c r="D255" s="74"/>
      <c r="E255" s="75"/>
      <c r="F255" s="76" t="str">
        <f t="shared" si="10"/>
        <v/>
      </c>
      <c r="G255" s="74"/>
      <c r="H255" s="75"/>
      <c r="I255" s="76" t="str">
        <f t="shared" si="11"/>
        <v/>
      </c>
    </row>
    <row r="256" spans="1:9" s="76" customFormat="1" ht="17.399999999999999">
      <c r="A256" s="74"/>
      <c r="B256" s="75"/>
      <c r="C256" s="76" t="str">
        <f t="shared" si="9"/>
        <v/>
      </c>
      <c r="D256" s="74"/>
      <c r="E256" s="75"/>
      <c r="F256" s="76" t="str">
        <f t="shared" si="10"/>
        <v/>
      </c>
      <c r="G256" s="74"/>
      <c r="H256" s="75"/>
      <c r="I256" s="76" t="str">
        <f t="shared" si="11"/>
        <v/>
      </c>
    </row>
    <row r="257" spans="1:9" s="76" customFormat="1" ht="17.399999999999999">
      <c r="A257" s="74"/>
      <c r="B257" s="75"/>
      <c r="C257" s="76" t="str">
        <f t="shared" si="9"/>
        <v/>
      </c>
      <c r="D257" s="74"/>
      <c r="E257" s="75"/>
      <c r="F257" s="76" t="str">
        <f t="shared" si="10"/>
        <v/>
      </c>
      <c r="G257" s="74"/>
      <c r="H257" s="75"/>
      <c r="I257" s="76" t="str">
        <f t="shared" si="11"/>
        <v/>
      </c>
    </row>
    <row r="258" spans="1:9" s="76" customFormat="1" ht="17.399999999999999">
      <c r="A258" s="74"/>
      <c r="B258" s="75"/>
      <c r="C258" s="76" t="str">
        <f t="shared" si="9"/>
        <v/>
      </c>
      <c r="D258" s="74"/>
      <c r="E258" s="75"/>
      <c r="F258" s="76" t="str">
        <f t="shared" si="10"/>
        <v/>
      </c>
      <c r="G258" s="74"/>
      <c r="H258" s="75"/>
      <c r="I258" s="76" t="str">
        <f t="shared" si="11"/>
        <v/>
      </c>
    </row>
    <row r="259" spans="1:9" s="76" customFormat="1" ht="17.399999999999999">
      <c r="A259" s="74"/>
      <c r="B259" s="75"/>
      <c r="C259" s="76" t="str">
        <f t="shared" si="9"/>
        <v/>
      </c>
      <c r="D259" s="74"/>
      <c r="E259" s="75"/>
      <c r="F259" s="76" t="str">
        <f t="shared" si="10"/>
        <v/>
      </c>
      <c r="G259" s="74"/>
      <c r="H259" s="75"/>
      <c r="I259" s="76" t="str">
        <f t="shared" si="11"/>
        <v/>
      </c>
    </row>
    <row r="260" spans="1:9" s="76" customFormat="1" ht="17.399999999999999">
      <c r="A260" s="74"/>
      <c r="B260" s="75"/>
      <c r="C260" s="76" t="str">
        <f t="shared" si="9"/>
        <v/>
      </c>
      <c r="D260" s="74"/>
      <c r="E260" s="75"/>
      <c r="F260" s="76" t="str">
        <f t="shared" si="10"/>
        <v/>
      </c>
      <c r="G260" s="74"/>
      <c r="H260" s="75"/>
      <c r="I260" s="76" t="str">
        <f t="shared" si="11"/>
        <v/>
      </c>
    </row>
    <row r="261" spans="1:9" s="76" customFormat="1" ht="17.399999999999999">
      <c r="A261" s="74"/>
      <c r="B261" s="75"/>
      <c r="C261" s="76" t="str">
        <f t="shared" ref="C261:C304" si="12">IF(B261&gt;0,TEXT(B261,"(aaa)"),"")</f>
        <v/>
      </c>
      <c r="D261" s="74"/>
      <c r="E261" s="75"/>
      <c r="F261" s="76" t="str">
        <f t="shared" ref="F261:F304" si="13">IF(E261&gt;0,TEXT(E261,"(aaa)"),"")</f>
        <v/>
      </c>
      <c r="G261" s="74"/>
      <c r="H261" s="75"/>
      <c r="I261" s="76" t="str">
        <f t="shared" ref="I261:I304" si="14">IF(H261&gt;0,TEXT(H261,"(aaa)"),"")</f>
        <v/>
      </c>
    </row>
    <row r="262" spans="1:9" s="76" customFormat="1" ht="17.399999999999999">
      <c r="A262" s="74"/>
      <c r="B262" s="75"/>
      <c r="C262" s="76" t="str">
        <f t="shared" si="12"/>
        <v/>
      </c>
      <c r="D262" s="74"/>
      <c r="E262" s="75"/>
      <c r="F262" s="76" t="str">
        <f t="shared" si="13"/>
        <v/>
      </c>
      <c r="G262" s="74"/>
      <c r="H262" s="75"/>
      <c r="I262" s="76" t="str">
        <f t="shared" si="14"/>
        <v/>
      </c>
    </row>
    <row r="263" spans="1:9" s="76" customFormat="1" ht="17.399999999999999">
      <c r="A263" s="74"/>
      <c r="B263" s="75"/>
      <c r="C263" s="76" t="str">
        <f t="shared" si="12"/>
        <v/>
      </c>
      <c r="D263" s="74"/>
      <c r="E263" s="75"/>
      <c r="F263" s="76" t="str">
        <f t="shared" si="13"/>
        <v/>
      </c>
      <c r="G263" s="74"/>
      <c r="H263" s="75"/>
      <c r="I263" s="76" t="str">
        <f t="shared" si="14"/>
        <v/>
      </c>
    </row>
    <row r="264" spans="1:9" s="76" customFormat="1" ht="17.399999999999999">
      <c r="A264" s="74"/>
      <c r="B264" s="75"/>
      <c r="C264" s="76" t="str">
        <f t="shared" si="12"/>
        <v/>
      </c>
      <c r="D264" s="74"/>
      <c r="E264" s="75"/>
      <c r="F264" s="76" t="str">
        <f t="shared" si="13"/>
        <v/>
      </c>
      <c r="G264" s="74"/>
      <c r="H264" s="75"/>
      <c r="I264" s="76" t="str">
        <f t="shared" si="14"/>
        <v/>
      </c>
    </row>
    <row r="265" spans="1:9" s="76" customFormat="1" ht="17.399999999999999">
      <c r="A265" s="74"/>
      <c r="B265" s="75"/>
      <c r="C265" s="76" t="str">
        <f t="shared" si="12"/>
        <v/>
      </c>
      <c r="D265" s="74"/>
      <c r="E265" s="75"/>
      <c r="F265" s="76" t="str">
        <f t="shared" si="13"/>
        <v/>
      </c>
      <c r="G265" s="74"/>
      <c r="H265" s="75"/>
      <c r="I265" s="76" t="str">
        <f t="shared" si="14"/>
        <v/>
      </c>
    </row>
    <row r="266" spans="1:9" s="76" customFormat="1" ht="17.399999999999999">
      <c r="A266" s="74"/>
      <c r="B266" s="75"/>
      <c r="C266" s="76" t="str">
        <f t="shared" si="12"/>
        <v/>
      </c>
      <c r="D266" s="74"/>
      <c r="E266" s="75"/>
      <c r="F266" s="76" t="str">
        <f t="shared" si="13"/>
        <v/>
      </c>
      <c r="G266" s="74"/>
      <c r="H266" s="75"/>
      <c r="I266" s="76" t="str">
        <f t="shared" si="14"/>
        <v/>
      </c>
    </row>
    <row r="267" spans="1:9" s="76" customFormat="1" ht="17.399999999999999">
      <c r="A267" s="74"/>
      <c r="B267" s="75"/>
      <c r="C267" s="76" t="str">
        <f t="shared" si="12"/>
        <v/>
      </c>
      <c r="D267" s="74"/>
      <c r="E267" s="75"/>
      <c r="F267" s="76" t="str">
        <f t="shared" si="13"/>
        <v/>
      </c>
      <c r="G267" s="74"/>
      <c r="H267" s="75"/>
      <c r="I267" s="76" t="str">
        <f t="shared" si="14"/>
        <v/>
      </c>
    </row>
    <row r="268" spans="1:9" s="76" customFormat="1" ht="17.399999999999999">
      <c r="A268" s="74"/>
      <c r="B268" s="75"/>
      <c r="C268" s="76" t="str">
        <f t="shared" si="12"/>
        <v/>
      </c>
      <c r="D268" s="74"/>
      <c r="E268" s="75"/>
      <c r="F268" s="76" t="str">
        <f t="shared" si="13"/>
        <v/>
      </c>
      <c r="G268" s="74"/>
      <c r="H268" s="75"/>
      <c r="I268" s="76" t="str">
        <f t="shared" si="14"/>
        <v/>
      </c>
    </row>
    <row r="269" spans="1:9" s="76" customFormat="1" ht="17.399999999999999">
      <c r="A269" s="74"/>
      <c r="B269" s="75"/>
      <c r="C269" s="76" t="str">
        <f t="shared" si="12"/>
        <v/>
      </c>
      <c r="D269" s="74"/>
      <c r="E269" s="75"/>
      <c r="F269" s="76" t="str">
        <f t="shared" si="13"/>
        <v/>
      </c>
      <c r="G269" s="74"/>
      <c r="H269" s="75"/>
      <c r="I269" s="76" t="str">
        <f t="shared" si="14"/>
        <v/>
      </c>
    </row>
    <row r="270" spans="1:9" s="76" customFormat="1" ht="17.399999999999999">
      <c r="A270" s="74"/>
      <c r="B270" s="75"/>
      <c r="C270" s="76" t="str">
        <f t="shared" si="12"/>
        <v/>
      </c>
      <c r="D270" s="74"/>
      <c r="E270" s="75"/>
      <c r="F270" s="76" t="str">
        <f t="shared" si="13"/>
        <v/>
      </c>
      <c r="G270" s="74"/>
      <c r="H270" s="75"/>
      <c r="I270" s="76" t="str">
        <f t="shared" si="14"/>
        <v/>
      </c>
    </row>
    <row r="271" spans="1:9" s="76" customFormat="1" ht="17.399999999999999">
      <c r="A271" s="74"/>
      <c r="B271" s="75"/>
      <c r="C271" s="76" t="str">
        <f t="shared" si="12"/>
        <v/>
      </c>
      <c r="D271" s="74"/>
      <c r="E271" s="75"/>
      <c r="F271" s="76" t="str">
        <f t="shared" si="13"/>
        <v/>
      </c>
      <c r="G271" s="74"/>
      <c r="H271" s="75"/>
      <c r="I271" s="76" t="str">
        <f t="shared" si="14"/>
        <v/>
      </c>
    </row>
    <row r="272" spans="1:9" s="76" customFormat="1" ht="17.399999999999999">
      <c r="A272" s="74"/>
      <c r="B272" s="75"/>
      <c r="C272" s="76" t="str">
        <f t="shared" si="12"/>
        <v/>
      </c>
      <c r="D272" s="74"/>
      <c r="E272" s="75"/>
      <c r="F272" s="76" t="str">
        <f t="shared" si="13"/>
        <v/>
      </c>
      <c r="G272" s="74"/>
      <c r="H272" s="75"/>
      <c r="I272" s="76" t="str">
        <f t="shared" si="14"/>
        <v/>
      </c>
    </row>
    <row r="273" spans="1:9" s="76" customFormat="1" ht="17.399999999999999">
      <c r="A273" s="74"/>
      <c r="B273" s="75"/>
      <c r="C273" s="76" t="str">
        <f t="shared" si="12"/>
        <v/>
      </c>
      <c r="D273" s="74"/>
      <c r="E273" s="75"/>
      <c r="F273" s="76" t="str">
        <f t="shared" si="13"/>
        <v/>
      </c>
      <c r="G273" s="74"/>
      <c r="H273" s="75"/>
      <c r="I273" s="76" t="str">
        <f t="shared" si="14"/>
        <v/>
      </c>
    </row>
    <row r="274" spans="1:9" s="76" customFormat="1" ht="17.399999999999999">
      <c r="A274" s="74"/>
      <c r="B274" s="75"/>
      <c r="C274" s="76" t="str">
        <f t="shared" si="12"/>
        <v/>
      </c>
      <c r="D274" s="74"/>
      <c r="E274" s="75"/>
      <c r="F274" s="76" t="str">
        <f t="shared" si="13"/>
        <v/>
      </c>
      <c r="G274" s="74"/>
      <c r="H274" s="75"/>
      <c r="I274" s="76" t="str">
        <f t="shared" si="14"/>
        <v/>
      </c>
    </row>
    <row r="275" spans="1:9" s="76" customFormat="1" ht="17.399999999999999">
      <c r="A275" s="74"/>
      <c r="B275" s="75"/>
      <c r="C275" s="76" t="str">
        <f t="shared" si="12"/>
        <v/>
      </c>
      <c r="D275" s="74"/>
      <c r="E275" s="75"/>
      <c r="F275" s="76" t="str">
        <f t="shared" si="13"/>
        <v/>
      </c>
      <c r="G275" s="74"/>
      <c r="H275" s="75"/>
      <c r="I275" s="76" t="str">
        <f t="shared" si="14"/>
        <v/>
      </c>
    </row>
    <row r="276" spans="1:9" s="76" customFormat="1" ht="17.399999999999999">
      <c r="A276" s="74"/>
      <c r="B276" s="75"/>
      <c r="C276" s="76" t="str">
        <f t="shared" si="12"/>
        <v/>
      </c>
      <c r="D276" s="74"/>
      <c r="E276" s="75"/>
      <c r="F276" s="76" t="str">
        <f t="shared" si="13"/>
        <v/>
      </c>
      <c r="G276" s="74"/>
      <c r="H276" s="75"/>
      <c r="I276" s="76" t="str">
        <f t="shared" si="14"/>
        <v/>
      </c>
    </row>
    <row r="277" spans="1:9" s="76" customFormat="1" ht="17.399999999999999">
      <c r="A277" s="74"/>
      <c r="B277" s="75"/>
      <c r="C277" s="76" t="str">
        <f t="shared" si="12"/>
        <v/>
      </c>
      <c r="D277" s="74"/>
      <c r="E277" s="75"/>
      <c r="F277" s="76" t="str">
        <f t="shared" si="13"/>
        <v/>
      </c>
      <c r="G277" s="74"/>
      <c r="H277" s="75"/>
      <c r="I277" s="76" t="str">
        <f t="shared" si="14"/>
        <v/>
      </c>
    </row>
    <row r="278" spans="1:9" s="76" customFormat="1" ht="17.399999999999999">
      <c r="A278" s="74"/>
      <c r="B278" s="75"/>
      <c r="C278" s="76" t="str">
        <f t="shared" si="12"/>
        <v/>
      </c>
      <c r="D278" s="74"/>
      <c r="E278" s="75"/>
      <c r="F278" s="76" t="str">
        <f t="shared" si="13"/>
        <v/>
      </c>
      <c r="G278" s="74"/>
      <c r="H278" s="75"/>
      <c r="I278" s="76" t="str">
        <f t="shared" si="14"/>
        <v/>
      </c>
    </row>
    <row r="279" spans="1:9" s="76" customFormat="1" ht="17.399999999999999">
      <c r="A279" s="74"/>
      <c r="B279" s="75"/>
      <c r="C279" s="76" t="str">
        <f t="shared" si="12"/>
        <v/>
      </c>
      <c r="D279" s="74"/>
      <c r="E279" s="75"/>
      <c r="F279" s="76" t="str">
        <f t="shared" si="13"/>
        <v/>
      </c>
      <c r="G279" s="74"/>
      <c r="H279" s="75"/>
      <c r="I279" s="76" t="str">
        <f t="shared" si="14"/>
        <v/>
      </c>
    </row>
    <row r="280" spans="1:9" s="76" customFormat="1" ht="17.399999999999999">
      <c r="A280" s="74"/>
      <c r="B280" s="75"/>
      <c r="C280" s="76" t="str">
        <f t="shared" si="12"/>
        <v/>
      </c>
      <c r="D280" s="74"/>
      <c r="E280" s="75"/>
      <c r="F280" s="76" t="str">
        <f t="shared" si="13"/>
        <v/>
      </c>
      <c r="G280" s="74"/>
      <c r="H280" s="75"/>
      <c r="I280" s="76" t="str">
        <f t="shared" si="14"/>
        <v/>
      </c>
    </row>
    <row r="281" spans="1:9" s="76" customFormat="1" ht="17.399999999999999">
      <c r="A281" s="74"/>
      <c r="B281" s="75"/>
      <c r="C281" s="76" t="str">
        <f t="shared" si="12"/>
        <v/>
      </c>
      <c r="D281" s="74"/>
      <c r="E281" s="75"/>
      <c r="F281" s="76" t="str">
        <f t="shared" si="13"/>
        <v/>
      </c>
      <c r="G281" s="74"/>
      <c r="H281" s="75"/>
      <c r="I281" s="76" t="str">
        <f t="shared" si="14"/>
        <v/>
      </c>
    </row>
    <row r="282" spans="1:9" s="76" customFormat="1" ht="17.399999999999999">
      <c r="A282" s="74"/>
      <c r="B282" s="75"/>
      <c r="C282" s="76" t="str">
        <f t="shared" si="12"/>
        <v/>
      </c>
      <c r="D282" s="74"/>
      <c r="E282" s="75"/>
      <c r="F282" s="76" t="str">
        <f t="shared" si="13"/>
        <v/>
      </c>
      <c r="G282" s="74"/>
      <c r="H282" s="75"/>
      <c r="I282" s="76" t="str">
        <f t="shared" si="14"/>
        <v/>
      </c>
    </row>
    <row r="283" spans="1:9" s="76" customFormat="1" ht="17.399999999999999">
      <c r="A283" s="74"/>
      <c r="B283" s="75"/>
      <c r="C283" s="76" t="str">
        <f t="shared" si="12"/>
        <v/>
      </c>
      <c r="D283" s="74"/>
      <c r="E283" s="75"/>
      <c r="F283" s="76" t="str">
        <f t="shared" si="13"/>
        <v/>
      </c>
      <c r="G283" s="74"/>
      <c r="H283" s="75"/>
      <c r="I283" s="76" t="str">
        <f t="shared" si="14"/>
        <v/>
      </c>
    </row>
    <row r="284" spans="1:9" s="76" customFormat="1" ht="17.399999999999999">
      <c r="A284" s="74"/>
      <c r="B284" s="75"/>
      <c r="C284" s="76" t="str">
        <f t="shared" si="12"/>
        <v/>
      </c>
      <c r="D284" s="74"/>
      <c r="E284" s="75"/>
      <c r="F284" s="76" t="str">
        <f t="shared" si="13"/>
        <v/>
      </c>
      <c r="G284" s="74"/>
      <c r="H284" s="75"/>
      <c r="I284" s="76" t="str">
        <f t="shared" si="14"/>
        <v/>
      </c>
    </row>
    <row r="285" spans="1:9" s="76" customFormat="1" ht="17.399999999999999">
      <c r="A285" s="74"/>
      <c r="B285" s="75"/>
      <c r="C285" s="76" t="str">
        <f t="shared" si="12"/>
        <v/>
      </c>
      <c r="D285" s="74"/>
      <c r="E285" s="75"/>
      <c r="F285" s="76" t="str">
        <f t="shared" si="13"/>
        <v/>
      </c>
      <c r="G285" s="74"/>
      <c r="H285" s="75"/>
      <c r="I285" s="76" t="str">
        <f t="shared" si="14"/>
        <v/>
      </c>
    </row>
    <row r="286" spans="1:9" s="76" customFormat="1" ht="17.399999999999999">
      <c r="A286" s="74"/>
      <c r="B286" s="75"/>
      <c r="C286" s="76" t="str">
        <f t="shared" si="12"/>
        <v/>
      </c>
      <c r="D286" s="74"/>
      <c r="E286" s="75"/>
      <c r="F286" s="76" t="str">
        <f t="shared" si="13"/>
        <v/>
      </c>
      <c r="G286" s="74"/>
      <c r="H286" s="75"/>
      <c r="I286" s="76" t="str">
        <f t="shared" si="14"/>
        <v/>
      </c>
    </row>
    <row r="287" spans="1:9" s="76" customFormat="1" ht="17.399999999999999">
      <c r="A287" s="74"/>
      <c r="B287" s="75"/>
      <c r="C287" s="76" t="str">
        <f t="shared" si="12"/>
        <v/>
      </c>
      <c r="D287" s="74"/>
      <c r="E287" s="75"/>
      <c r="F287" s="76" t="str">
        <f t="shared" si="13"/>
        <v/>
      </c>
      <c r="G287" s="74"/>
      <c r="H287" s="75"/>
      <c r="I287" s="76" t="str">
        <f t="shared" si="14"/>
        <v/>
      </c>
    </row>
    <row r="288" spans="1:9" s="76" customFormat="1" ht="17.399999999999999">
      <c r="A288" s="74"/>
      <c r="B288" s="75"/>
      <c r="C288" s="76" t="str">
        <f t="shared" si="12"/>
        <v/>
      </c>
      <c r="D288" s="74"/>
      <c r="E288" s="75"/>
      <c r="F288" s="76" t="str">
        <f t="shared" si="13"/>
        <v/>
      </c>
      <c r="G288" s="74"/>
      <c r="H288" s="75"/>
      <c r="I288" s="76" t="str">
        <f t="shared" si="14"/>
        <v/>
      </c>
    </row>
    <row r="289" spans="1:9" s="76" customFormat="1" ht="17.399999999999999">
      <c r="A289" s="74"/>
      <c r="B289" s="75"/>
      <c r="C289" s="76" t="str">
        <f t="shared" si="12"/>
        <v/>
      </c>
      <c r="D289" s="74"/>
      <c r="E289" s="75"/>
      <c r="F289" s="76" t="str">
        <f t="shared" si="13"/>
        <v/>
      </c>
      <c r="G289" s="74"/>
      <c r="H289" s="75"/>
      <c r="I289" s="76" t="str">
        <f t="shared" si="14"/>
        <v/>
      </c>
    </row>
    <row r="290" spans="1:9" s="76" customFormat="1" ht="17.399999999999999">
      <c r="A290" s="74"/>
      <c r="B290" s="75"/>
      <c r="C290" s="76" t="str">
        <f t="shared" si="12"/>
        <v/>
      </c>
      <c r="D290" s="74"/>
      <c r="E290" s="75"/>
      <c r="F290" s="76" t="str">
        <f t="shared" si="13"/>
        <v/>
      </c>
      <c r="G290" s="74"/>
      <c r="H290" s="75"/>
      <c r="I290" s="76" t="str">
        <f t="shared" si="14"/>
        <v/>
      </c>
    </row>
    <row r="291" spans="1:9" s="76" customFormat="1" ht="17.399999999999999">
      <c r="A291" s="74"/>
      <c r="B291" s="75"/>
      <c r="C291" s="76" t="str">
        <f t="shared" si="12"/>
        <v/>
      </c>
      <c r="D291" s="74"/>
      <c r="E291" s="75"/>
      <c r="F291" s="76" t="str">
        <f t="shared" si="13"/>
        <v/>
      </c>
      <c r="G291" s="74"/>
      <c r="H291" s="75"/>
      <c r="I291" s="76" t="str">
        <f t="shared" si="14"/>
        <v/>
      </c>
    </row>
    <row r="292" spans="1:9" s="76" customFormat="1" ht="17.399999999999999">
      <c r="A292" s="74"/>
      <c r="B292" s="75"/>
      <c r="C292" s="76" t="str">
        <f t="shared" si="12"/>
        <v/>
      </c>
      <c r="D292" s="74"/>
      <c r="E292" s="75"/>
      <c r="F292" s="76" t="str">
        <f t="shared" si="13"/>
        <v/>
      </c>
      <c r="G292" s="74"/>
      <c r="H292" s="75"/>
      <c r="I292" s="76" t="str">
        <f t="shared" si="14"/>
        <v/>
      </c>
    </row>
    <row r="293" spans="1:9" s="76" customFormat="1" ht="17.399999999999999">
      <c r="A293" s="74"/>
      <c r="B293" s="75"/>
      <c r="C293" s="76" t="str">
        <f t="shared" si="12"/>
        <v/>
      </c>
      <c r="D293" s="74"/>
      <c r="E293" s="75"/>
      <c r="F293" s="76" t="str">
        <f t="shared" si="13"/>
        <v/>
      </c>
      <c r="G293" s="74"/>
      <c r="H293" s="75"/>
      <c r="I293" s="76" t="str">
        <f t="shared" si="14"/>
        <v/>
      </c>
    </row>
    <row r="294" spans="1:9" s="76" customFormat="1" ht="17.399999999999999">
      <c r="A294" s="74"/>
      <c r="B294" s="75"/>
      <c r="C294" s="76" t="str">
        <f t="shared" si="12"/>
        <v/>
      </c>
      <c r="D294" s="74"/>
      <c r="E294" s="75"/>
      <c r="F294" s="76" t="str">
        <f t="shared" si="13"/>
        <v/>
      </c>
      <c r="G294" s="74"/>
      <c r="H294" s="75"/>
      <c r="I294" s="76" t="str">
        <f t="shared" si="14"/>
        <v/>
      </c>
    </row>
    <row r="295" spans="1:9" s="76" customFormat="1" ht="17.399999999999999">
      <c r="A295" s="74"/>
      <c r="B295" s="75"/>
      <c r="C295" s="76" t="str">
        <f t="shared" si="12"/>
        <v/>
      </c>
      <c r="D295" s="74"/>
      <c r="E295" s="75"/>
      <c r="F295" s="76" t="str">
        <f t="shared" si="13"/>
        <v/>
      </c>
      <c r="G295" s="74"/>
      <c r="H295" s="75"/>
      <c r="I295" s="76" t="str">
        <f t="shared" si="14"/>
        <v/>
      </c>
    </row>
    <row r="296" spans="1:9" s="76" customFormat="1" ht="17.399999999999999">
      <c r="A296" s="74"/>
      <c r="B296" s="75"/>
      <c r="C296" s="76" t="str">
        <f t="shared" si="12"/>
        <v/>
      </c>
      <c r="D296" s="74"/>
      <c r="E296" s="75"/>
      <c r="F296" s="76" t="str">
        <f t="shared" si="13"/>
        <v/>
      </c>
      <c r="G296" s="74"/>
      <c r="H296" s="75"/>
      <c r="I296" s="76" t="str">
        <f t="shared" si="14"/>
        <v/>
      </c>
    </row>
    <row r="297" spans="1:9" s="76" customFormat="1" ht="17.399999999999999">
      <c r="A297" s="74"/>
      <c r="B297" s="75"/>
      <c r="C297" s="76" t="str">
        <f t="shared" si="12"/>
        <v/>
      </c>
      <c r="D297" s="74"/>
      <c r="E297" s="75"/>
      <c r="F297" s="76" t="str">
        <f t="shared" si="13"/>
        <v/>
      </c>
      <c r="G297" s="74"/>
      <c r="H297" s="75"/>
      <c r="I297" s="76" t="str">
        <f t="shared" si="14"/>
        <v/>
      </c>
    </row>
    <row r="298" spans="1:9" s="76" customFormat="1" ht="17.399999999999999">
      <c r="A298" s="74"/>
      <c r="B298" s="75"/>
      <c r="C298" s="76" t="str">
        <f t="shared" si="12"/>
        <v/>
      </c>
      <c r="D298" s="74"/>
      <c r="E298" s="75"/>
      <c r="F298" s="76" t="str">
        <f t="shared" si="13"/>
        <v/>
      </c>
      <c r="G298" s="74"/>
      <c r="H298" s="75"/>
      <c r="I298" s="76" t="str">
        <f t="shared" si="14"/>
        <v/>
      </c>
    </row>
    <row r="299" spans="1:9" s="76" customFormat="1" ht="17.399999999999999">
      <c r="A299" s="74"/>
      <c r="B299" s="75"/>
      <c r="C299" s="76" t="str">
        <f t="shared" si="12"/>
        <v/>
      </c>
      <c r="D299" s="74"/>
      <c r="E299" s="75"/>
      <c r="F299" s="76" t="str">
        <f t="shared" si="13"/>
        <v/>
      </c>
      <c r="G299" s="74"/>
      <c r="H299" s="75"/>
      <c r="I299" s="76" t="str">
        <f t="shared" si="14"/>
        <v/>
      </c>
    </row>
    <row r="300" spans="1:9" s="76" customFormat="1" ht="17.399999999999999">
      <c r="A300" s="74"/>
      <c r="B300" s="75"/>
      <c r="C300" s="76" t="str">
        <f t="shared" si="12"/>
        <v/>
      </c>
      <c r="D300" s="74"/>
      <c r="E300" s="75"/>
      <c r="F300" s="76" t="str">
        <f t="shared" si="13"/>
        <v/>
      </c>
      <c r="G300" s="74"/>
      <c r="H300" s="75"/>
      <c r="I300" s="76" t="str">
        <f t="shared" si="14"/>
        <v/>
      </c>
    </row>
    <row r="301" spans="1:9" s="76" customFormat="1" ht="17.399999999999999">
      <c r="A301" s="74"/>
      <c r="B301" s="75"/>
      <c r="C301" s="76" t="str">
        <f t="shared" si="12"/>
        <v/>
      </c>
      <c r="D301" s="74"/>
      <c r="E301" s="75"/>
      <c r="F301" s="76" t="str">
        <f t="shared" si="13"/>
        <v/>
      </c>
      <c r="G301" s="74"/>
      <c r="H301" s="75"/>
      <c r="I301" s="76" t="str">
        <f t="shared" si="14"/>
        <v/>
      </c>
    </row>
    <row r="302" spans="1:9" s="76" customFormat="1" ht="17.399999999999999">
      <c r="A302" s="74"/>
      <c r="B302" s="78"/>
      <c r="C302" s="76" t="str">
        <f t="shared" si="12"/>
        <v/>
      </c>
      <c r="D302" s="74"/>
      <c r="E302" s="78"/>
      <c r="F302" s="76" t="str">
        <f t="shared" si="13"/>
        <v/>
      </c>
      <c r="G302" s="74"/>
      <c r="H302" s="78"/>
      <c r="I302" s="76" t="str">
        <f t="shared" si="14"/>
        <v/>
      </c>
    </row>
    <row r="303" spans="1:9" s="76" customFormat="1" ht="17.399999999999999">
      <c r="A303" s="74"/>
      <c r="B303" s="78"/>
      <c r="C303" s="76" t="str">
        <f t="shared" si="12"/>
        <v/>
      </c>
      <c r="D303" s="74"/>
      <c r="E303" s="78"/>
      <c r="F303" s="76" t="str">
        <f t="shared" si="13"/>
        <v/>
      </c>
      <c r="G303" s="74"/>
      <c r="H303" s="78"/>
      <c r="I303" s="76" t="str">
        <f t="shared" si="14"/>
        <v/>
      </c>
    </row>
    <row r="304" spans="1:9" s="76" customFormat="1" ht="17.399999999999999">
      <c r="A304" s="74"/>
      <c r="B304" s="78"/>
      <c r="C304" s="76" t="str">
        <f t="shared" si="12"/>
        <v/>
      </c>
      <c r="D304" s="74"/>
      <c r="E304" s="78"/>
      <c r="F304" s="76" t="str">
        <f t="shared" si="13"/>
        <v/>
      </c>
      <c r="G304" s="74"/>
      <c r="H304" s="78"/>
      <c r="I304" s="76" t="str">
        <f t="shared" si="14"/>
        <v/>
      </c>
    </row>
    <row r="305" spans="1:7" s="76" customFormat="1" ht="17.399999999999999">
      <c r="A305" s="76" t="s">
        <v>1472</v>
      </c>
      <c r="D305" s="76" t="s">
        <v>1472</v>
      </c>
      <c r="G305" s="76" t="s">
        <v>1472</v>
      </c>
    </row>
  </sheetData>
  <mergeCells count="4">
    <mergeCell ref="A2:H2"/>
    <mergeCell ref="A3:B3"/>
    <mergeCell ref="D3:E3"/>
    <mergeCell ref="G3:H3"/>
  </mergeCells>
  <phoneticPr fontId="1" type="noConversion"/>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AA600"/>
  <sheetViews>
    <sheetView zoomScaleNormal="100" workbookViewId="0">
      <pane ySplit="1" topLeftCell="A2" activePane="bottomLeft" state="frozen"/>
      <selection pane="bottomLeft" activeCell="D15" sqref="D15"/>
    </sheetView>
  </sheetViews>
  <sheetFormatPr defaultColWidth="73.3984375" defaultRowHeight="12"/>
  <cols>
    <col min="1" max="1" width="7.59765625" style="178" bestFit="1" customWidth="1"/>
    <col min="2" max="2" width="8.3984375" style="179" bestFit="1" customWidth="1"/>
    <col min="3" max="3" width="15.69921875" style="180" customWidth="1"/>
    <col min="4" max="4" width="47.09765625" style="181" customWidth="1"/>
    <col min="5" max="5" width="56.09765625" style="181" customWidth="1"/>
    <col min="6" max="6" width="57.3984375" style="178" customWidth="1"/>
    <col min="7" max="26" width="73.3984375" style="178"/>
    <col min="27" max="27" width="73.3984375" style="178" hidden="1" customWidth="1"/>
    <col min="28" max="29" width="73.3984375" style="178"/>
    <col min="30" max="30" width="0" style="178" hidden="1" customWidth="1"/>
    <col min="31" max="16384" width="73.3984375" style="178"/>
  </cols>
  <sheetData>
    <row r="1" spans="1:6" s="176" customFormat="1">
      <c r="A1" s="176" t="s">
        <v>423</v>
      </c>
      <c r="B1" s="176" t="s">
        <v>424</v>
      </c>
      <c r="C1" s="177" t="s">
        <v>425</v>
      </c>
      <c r="D1" s="177" t="s">
        <v>18</v>
      </c>
      <c r="E1" s="177" t="s">
        <v>19</v>
      </c>
      <c r="F1" s="176" t="s">
        <v>626</v>
      </c>
    </row>
    <row r="2" spans="1:6" ht="72">
      <c r="A2" s="178" t="s">
        <v>619</v>
      </c>
      <c r="B2" s="179">
        <v>1</v>
      </c>
      <c r="C2" s="180" t="s">
        <v>498</v>
      </c>
      <c r="D2" s="181" t="s">
        <v>426</v>
      </c>
      <c r="E2" s="181" t="s">
        <v>816</v>
      </c>
      <c r="F2" s="181" t="s">
        <v>816</v>
      </c>
    </row>
    <row r="3" spans="1:6" ht="84">
      <c r="A3" s="182">
        <v>650</v>
      </c>
      <c r="B3" s="179">
        <v>2</v>
      </c>
      <c r="C3" s="180" t="s">
        <v>498</v>
      </c>
      <c r="D3" s="181" t="s">
        <v>419</v>
      </c>
      <c r="E3" s="181" t="s">
        <v>817</v>
      </c>
      <c r="F3" s="181" t="s">
        <v>817</v>
      </c>
    </row>
    <row r="4" spans="1:6" ht="60">
      <c r="B4" s="179">
        <v>3</v>
      </c>
      <c r="C4" s="180" t="s">
        <v>498</v>
      </c>
      <c r="D4" s="181" t="s">
        <v>427</v>
      </c>
      <c r="E4" s="181" t="s">
        <v>818</v>
      </c>
      <c r="F4" s="181" t="s">
        <v>818</v>
      </c>
    </row>
    <row r="5" spans="1:6" ht="52.8">
      <c r="B5" s="179">
        <v>4</v>
      </c>
      <c r="C5" s="180" t="s">
        <v>498</v>
      </c>
      <c r="D5" s="181" t="s">
        <v>428</v>
      </c>
      <c r="E5" s="181" t="s">
        <v>819</v>
      </c>
      <c r="F5" s="181" t="s">
        <v>819</v>
      </c>
    </row>
    <row r="6" spans="1:6" ht="66">
      <c r="B6" s="179">
        <v>5</v>
      </c>
      <c r="C6" s="180" t="s">
        <v>498</v>
      </c>
      <c r="D6" s="181" t="s">
        <v>429</v>
      </c>
      <c r="E6" s="181" t="s">
        <v>820</v>
      </c>
      <c r="F6" s="181" t="s">
        <v>820</v>
      </c>
    </row>
    <row r="7" spans="1:6" ht="48">
      <c r="B7" s="179">
        <v>6</v>
      </c>
      <c r="C7" s="180" t="s">
        <v>498</v>
      </c>
      <c r="D7" s="181" t="s">
        <v>430</v>
      </c>
      <c r="E7" s="181" t="s">
        <v>821</v>
      </c>
      <c r="F7" s="181" t="s">
        <v>821</v>
      </c>
    </row>
    <row r="8" spans="1:6" ht="13.2">
      <c r="B8" s="179">
        <v>7</v>
      </c>
      <c r="C8" s="180" t="s">
        <v>498</v>
      </c>
      <c r="D8" s="181" t="s">
        <v>421</v>
      </c>
      <c r="E8" s="181" t="s">
        <v>822</v>
      </c>
      <c r="F8" s="181" t="s">
        <v>822</v>
      </c>
    </row>
    <row r="9" spans="1:6" ht="48">
      <c r="B9" s="179">
        <v>8</v>
      </c>
      <c r="C9" s="180" t="s">
        <v>589</v>
      </c>
      <c r="D9" s="181" t="s">
        <v>586</v>
      </c>
      <c r="E9" s="197" t="s">
        <v>1366</v>
      </c>
      <c r="F9" s="197" t="s">
        <v>1366</v>
      </c>
    </row>
    <row r="10" spans="1:6" ht="48">
      <c r="B10" s="179">
        <v>9</v>
      </c>
      <c r="C10" s="180" t="s">
        <v>589</v>
      </c>
      <c r="D10" s="181" t="s">
        <v>578</v>
      </c>
      <c r="E10" s="181" t="s">
        <v>823</v>
      </c>
      <c r="F10" s="181" t="s">
        <v>823</v>
      </c>
    </row>
    <row r="11" spans="1:6" ht="48">
      <c r="B11" s="179">
        <v>10</v>
      </c>
      <c r="C11" s="180" t="s">
        <v>589</v>
      </c>
      <c r="D11" s="181" t="s">
        <v>587</v>
      </c>
      <c r="E11" s="181" t="s">
        <v>824</v>
      </c>
      <c r="F11" s="181" t="s">
        <v>824</v>
      </c>
    </row>
    <row r="12" spans="1:6" ht="52.8">
      <c r="B12" s="179">
        <v>11</v>
      </c>
      <c r="C12" s="180" t="s">
        <v>589</v>
      </c>
      <c r="D12" s="181" t="s">
        <v>581</v>
      </c>
      <c r="E12" s="181" t="s">
        <v>825</v>
      </c>
      <c r="F12" s="181" t="s">
        <v>825</v>
      </c>
    </row>
    <row r="13" spans="1:6" ht="72">
      <c r="B13" s="179">
        <v>12</v>
      </c>
      <c r="C13" s="180" t="s">
        <v>589</v>
      </c>
      <c r="D13" s="181" t="s">
        <v>582</v>
      </c>
      <c r="E13" s="181" t="s">
        <v>826</v>
      </c>
      <c r="F13" s="181" t="s">
        <v>826</v>
      </c>
    </row>
    <row r="14" spans="1:6" ht="48">
      <c r="B14" s="179">
        <v>13</v>
      </c>
      <c r="C14" s="180" t="s">
        <v>498</v>
      </c>
      <c r="D14" s="181" t="s">
        <v>751</v>
      </c>
      <c r="E14" s="181" t="s">
        <v>827</v>
      </c>
      <c r="F14" s="181" t="s">
        <v>827</v>
      </c>
    </row>
    <row r="15" spans="1:6" ht="39.6">
      <c r="B15" s="179">
        <v>14</v>
      </c>
      <c r="C15" s="180" t="s">
        <v>498</v>
      </c>
      <c r="D15" s="181" t="s">
        <v>752</v>
      </c>
      <c r="E15" s="181" t="s">
        <v>828</v>
      </c>
      <c r="F15" s="181" t="s">
        <v>828</v>
      </c>
    </row>
    <row r="16" spans="1:6" ht="13.2">
      <c r="B16" s="179">
        <v>15</v>
      </c>
      <c r="C16" s="180" t="s">
        <v>498</v>
      </c>
      <c r="D16" s="181" t="s">
        <v>753</v>
      </c>
      <c r="E16" s="181" t="s">
        <v>829</v>
      </c>
      <c r="F16" s="181" t="s">
        <v>829</v>
      </c>
    </row>
    <row r="17" spans="1:6" ht="13.2">
      <c r="B17" s="179">
        <v>101</v>
      </c>
      <c r="D17" s="181" t="s">
        <v>20</v>
      </c>
      <c r="E17" s="181" t="s">
        <v>830</v>
      </c>
      <c r="F17" s="181" t="s">
        <v>830</v>
      </c>
    </row>
    <row r="18" spans="1:6" ht="13.2">
      <c r="B18" s="179">
        <v>102</v>
      </c>
      <c r="D18" s="181" t="s">
        <v>21</v>
      </c>
      <c r="E18" s="181" t="s">
        <v>831</v>
      </c>
      <c r="F18" s="181" t="s">
        <v>831</v>
      </c>
    </row>
    <row r="19" spans="1:6" ht="13.2">
      <c r="B19" s="179">
        <v>103</v>
      </c>
      <c r="D19" s="181" t="s">
        <v>22</v>
      </c>
      <c r="E19" s="181" t="s">
        <v>832</v>
      </c>
      <c r="F19" s="181" t="s">
        <v>832</v>
      </c>
    </row>
    <row r="20" spans="1:6" ht="13.2">
      <c r="B20" s="179">
        <v>104</v>
      </c>
      <c r="D20" s="181" t="s">
        <v>23</v>
      </c>
      <c r="E20" s="181" t="s">
        <v>833</v>
      </c>
      <c r="F20" s="181" t="s">
        <v>833</v>
      </c>
    </row>
    <row r="21" spans="1:6" ht="13.2">
      <c r="B21" s="179">
        <v>105</v>
      </c>
      <c r="D21" s="181" t="s">
        <v>24</v>
      </c>
      <c r="E21" s="181" t="s">
        <v>834</v>
      </c>
      <c r="F21" s="181" t="s">
        <v>834</v>
      </c>
    </row>
    <row r="22" spans="1:6" ht="13.2">
      <c r="B22" s="179">
        <v>106</v>
      </c>
      <c r="D22" s="181" t="s">
        <v>343</v>
      </c>
      <c r="E22" s="181" t="s">
        <v>835</v>
      </c>
      <c r="F22" s="181" t="s">
        <v>835</v>
      </c>
    </row>
    <row r="23" spans="1:6" ht="39.6">
      <c r="B23" s="179">
        <v>107</v>
      </c>
      <c r="D23" s="181" t="s">
        <v>344</v>
      </c>
      <c r="E23" s="181" t="s">
        <v>836</v>
      </c>
      <c r="F23" s="181" t="s">
        <v>836</v>
      </c>
    </row>
    <row r="24" spans="1:6" ht="39.6">
      <c r="B24" s="179">
        <v>108</v>
      </c>
      <c r="D24" s="181" t="s">
        <v>345</v>
      </c>
      <c r="E24" s="181" t="s">
        <v>837</v>
      </c>
      <c r="F24" s="181" t="s">
        <v>837</v>
      </c>
    </row>
    <row r="25" spans="1:6" ht="13.2">
      <c r="B25" s="179">
        <v>109</v>
      </c>
      <c r="D25" s="181" t="s">
        <v>25</v>
      </c>
      <c r="E25" s="181" t="s">
        <v>838</v>
      </c>
      <c r="F25" s="181" t="s">
        <v>838</v>
      </c>
    </row>
    <row r="26" spans="1:6" ht="13.2">
      <c r="B26" s="179">
        <v>110</v>
      </c>
      <c r="D26" s="181" t="s">
        <v>26</v>
      </c>
      <c r="E26" s="181" t="s">
        <v>839</v>
      </c>
      <c r="F26" s="181" t="s">
        <v>839</v>
      </c>
    </row>
    <row r="27" spans="1:6" ht="13.2">
      <c r="B27" s="179">
        <v>111</v>
      </c>
      <c r="D27" s="181" t="s">
        <v>27</v>
      </c>
      <c r="E27" s="181" t="s">
        <v>840</v>
      </c>
      <c r="F27" s="181" t="s">
        <v>840</v>
      </c>
    </row>
    <row r="28" spans="1:6" ht="13.2">
      <c r="A28" s="183"/>
      <c r="B28" s="179">
        <v>112</v>
      </c>
      <c r="C28" s="184" t="s">
        <v>414</v>
      </c>
      <c r="D28" s="182" t="s">
        <v>431</v>
      </c>
      <c r="E28" s="182" t="s">
        <v>841</v>
      </c>
      <c r="F28" s="182" t="s">
        <v>841</v>
      </c>
    </row>
    <row r="29" spans="1:6" ht="13.2">
      <c r="B29" s="179">
        <v>113</v>
      </c>
      <c r="D29" s="181" t="s">
        <v>28</v>
      </c>
      <c r="E29" s="181" t="s">
        <v>841</v>
      </c>
      <c r="F29" s="181" t="s">
        <v>841</v>
      </c>
    </row>
    <row r="30" spans="1:6" ht="13.2">
      <c r="B30" s="179">
        <v>114</v>
      </c>
      <c r="C30" s="180" t="s">
        <v>547</v>
      </c>
      <c r="D30" s="181" t="s">
        <v>552</v>
      </c>
      <c r="E30" s="181" t="s">
        <v>842</v>
      </c>
      <c r="F30" s="181" t="s">
        <v>842</v>
      </c>
    </row>
    <row r="31" spans="1:6" ht="13.2">
      <c r="B31" s="179">
        <v>115</v>
      </c>
      <c r="D31" s="181" t="s">
        <v>607</v>
      </c>
      <c r="E31" s="181" t="s">
        <v>843</v>
      </c>
      <c r="F31" s="181" t="s">
        <v>843</v>
      </c>
    </row>
    <row r="32" spans="1:6" ht="13.2">
      <c r="B32" s="179">
        <v>116</v>
      </c>
      <c r="D32" s="181" t="s">
        <v>29</v>
      </c>
      <c r="E32" s="181" t="s">
        <v>844</v>
      </c>
      <c r="F32" s="181" t="s">
        <v>844</v>
      </c>
    </row>
    <row r="33" spans="2:6" ht="13.2">
      <c r="B33" s="179">
        <v>117</v>
      </c>
      <c r="D33" s="181" t="s">
        <v>30</v>
      </c>
      <c r="E33" s="181" t="s">
        <v>845</v>
      </c>
      <c r="F33" s="181" t="s">
        <v>845</v>
      </c>
    </row>
    <row r="34" spans="2:6" ht="26.4">
      <c r="B34" s="179">
        <v>118</v>
      </c>
      <c r="D34" s="181" t="s">
        <v>346</v>
      </c>
      <c r="E34" s="181" t="s">
        <v>846</v>
      </c>
      <c r="F34" s="181" t="s">
        <v>846</v>
      </c>
    </row>
    <row r="35" spans="2:6" ht="13.2">
      <c r="B35" s="179">
        <v>119</v>
      </c>
      <c r="D35" s="181" t="s">
        <v>518</v>
      </c>
      <c r="E35" s="181" t="s">
        <v>847</v>
      </c>
      <c r="F35" s="181" t="s">
        <v>847</v>
      </c>
    </row>
    <row r="36" spans="2:6" ht="13.2">
      <c r="B36" s="179">
        <v>120</v>
      </c>
      <c r="D36" s="181" t="s">
        <v>504</v>
      </c>
      <c r="E36" s="181" t="s">
        <v>848</v>
      </c>
      <c r="F36" s="181" t="s">
        <v>848</v>
      </c>
    </row>
    <row r="37" spans="2:6" ht="26.4">
      <c r="B37" s="179">
        <v>121</v>
      </c>
      <c r="D37" s="181" t="s">
        <v>31</v>
      </c>
      <c r="E37" s="181" t="s">
        <v>849</v>
      </c>
      <c r="F37" s="181" t="s">
        <v>849</v>
      </c>
    </row>
    <row r="38" spans="2:6" ht="13.2">
      <c r="B38" s="179">
        <v>122</v>
      </c>
      <c r="D38" s="181" t="s">
        <v>32</v>
      </c>
      <c r="E38" s="181" t="s">
        <v>850</v>
      </c>
      <c r="F38" s="181" t="s">
        <v>850</v>
      </c>
    </row>
    <row r="39" spans="2:6" ht="13.2">
      <c r="B39" s="179">
        <v>123</v>
      </c>
      <c r="D39" s="181" t="s">
        <v>341</v>
      </c>
      <c r="E39" s="181" t="s">
        <v>851</v>
      </c>
      <c r="F39" s="181" t="s">
        <v>851</v>
      </c>
    </row>
    <row r="40" spans="2:6" ht="13.2">
      <c r="B40" s="179">
        <v>124</v>
      </c>
      <c r="D40" s="181" t="s">
        <v>33</v>
      </c>
      <c r="E40" s="181" t="s">
        <v>852</v>
      </c>
      <c r="F40" s="181" t="s">
        <v>852</v>
      </c>
    </row>
    <row r="41" spans="2:6" ht="24">
      <c r="B41" s="179">
        <v>125</v>
      </c>
      <c r="D41" s="181" t="s">
        <v>520</v>
      </c>
      <c r="E41" s="181" t="s">
        <v>853</v>
      </c>
      <c r="F41" s="181" t="s">
        <v>853</v>
      </c>
    </row>
    <row r="42" spans="2:6" ht="13.2">
      <c r="B42" s="179">
        <v>126</v>
      </c>
      <c r="D42" s="181" t="s">
        <v>519</v>
      </c>
      <c r="E42" s="181" t="s">
        <v>854</v>
      </c>
      <c r="F42" s="181" t="s">
        <v>854</v>
      </c>
    </row>
    <row r="43" spans="2:6" ht="24">
      <c r="B43" s="179">
        <v>127</v>
      </c>
      <c r="D43" s="181" t="s">
        <v>34</v>
      </c>
      <c r="E43" s="181" t="s">
        <v>855</v>
      </c>
      <c r="F43" s="181" t="s">
        <v>855</v>
      </c>
    </row>
    <row r="44" spans="2:6" ht="24">
      <c r="B44" s="179">
        <v>128</v>
      </c>
      <c r="D44" s="181" t="s">
        <v>35</v>
      </c>
      <c r="E44" s="181" t="s">
        <v>856</v>
      </c>
      <c r="F44" s="181" t="s">
        <v>856</v>
      </c>
    </row>
    <row r="45" spans="2:6" ht="24">
      <c r="B45" s="179">
        <v>129</v>
      </c>
      <c r="D45" s="181" t="s">
        <v>342</v>
      </c>
      <c r="E45" s="181" t="s">
        <v>857</v>
      </c>
      <c r="F45" s="181" t="s">
        <v>857</v>
      </c>
    </row>
    <row r="46" spans="2:6" ht="13.2">
      <c r="B46" s="179">
        <v>130</v>
      </c>
      <c r="D46" s="181" t="s">
        <v>36</v>
      </c>
      <c r="E46" s="181" t="s">
        <v>858</v>
      </c>
      <c r="F46" s="181" t="s">
        <v>858</v>
      </c>
    </row>
    <row r="47" spans="2:6" ht="13.2">
      <c r="B47" s="179">
        <v>131</v>
      </c>
      <c r="D47" s="181" t="s">
        <v>347</v>
      </c>
      <c r="E47" s="181" t="s">
        <v>859</v>
      </c>
      <c r="F47" s="181" t="s">
        <v>859</v>
      </c>
    </row>
    <row r="48" spans="2:6" ht="13.2">
      <c r="B48" s="179">
        <v>132</v>
      </c>
      <c r="D48" s="181" t="s">
        <v>37</v>
      </c>
      <c r="E48" s="181" t="s">
        <v>860</v>
      </c>
      <c r="F48" s="181" t="s">
        <v>860</v>
      </c>
    </row>
    <row r="49" spans="2:6" ht="13.2">
      <c r="B49" s="179">
        <v>133</v>
      </c>
      <c r="D49" s="181" t="s">
        <v>635</v>
      </c>
      <c r="E49" s="181" t="s">
        <v>861</v>
      </c>
      <c r="F49" s="181" t="s">
        <v>861</v>
      </c>
    </row>
    <row r="50" spans="2:6" ht="13.2">
      <c r="B50" s="179">
        <v>134</v>
      </c>
      <c r="D50" s="181" t="s">
        <v>634</v>
      </c>
      <c r="E50" s="181" t="s">
        <v>862</v>
      </c>
      <c r="F50" s="181" t="s">
        <v>862</v>
      </c>
    </row>
    <row r="51" spans="2:6">
      <c r="B51" s="179">
        <v>135</v>
      </c>
      <c r="D51" s="182" t="s">
        <v>633</v>
      </c>
      <c r="E51" s="185">
        <v>43435</v>
      </c>
      <c r="F51" s="185">
        <v>43435</v>
      </c>
    </row>
    <row r="52" spans="2:6">
      <c r="B52" s="179">
        <v>136</v>
      </c>
      <c r="D52" s="182" t="s">
        <v>348</v>
      </c>
      <c r="E52" s="185">
        <v>43465</v>
      </c>
      <c r="F52" s="185">
        <v>43465</v>
      </c>
    </row>
    <row r="53" spans="2:6">
      <c r="B53" s="179">
        <v>137</v>
      </c>
      <c r="D53" s="181" t="s">
        <v>38</v>
      </c>
      <c r="E53" s="181" t="s">
        <v>38</v>
      </c>
      <c r="F53" s="181" t="s">
        <v>38</v>
      </c>
    </row>
    <row r="54" spans="2:6" ht="13.2">
      <c r="B54" s="179">
        <v>138</v>
      </c>
      <c r="D54" s="181" t="s">
        <v>39</v>
      </c>
      <c r="E54" s="181" t="s">
        <v>863</v>
      </c>
      <c r="F54" s="181" t="s">
        <v>863</v>
      </c>
    </row>
    <row r="55" spans="2:6" ht="13.2">
      <c r="B55" s="179">
        <v>139</v>
      </c>
      <c r="C55" s="180" t="s">
        <v>432</v>
      </c>
      <c r="D55" s="181" t="s">
        <v>433</v>
      </c>
      <c r="E55" s="181" t="s">
        <v>864</v>
      </c>
      <c r="F55" s="181" t="s">
        <v>864</v>
      </c>
    </row>
    <row r="56" spans="2:6" ht="26.4">
      <c r="B56" s="179">
        <v>140</v>
      </c>
      <c r="D56" s="181" t="s">
        <v>40</v>
      </c>
      <c r="E56" s="181" t="s">
        <v>865</v>
      </c>
      <c r="F56" s="181" t="s">
        <v>865</v>
      </c>
    </row>
    <row r="57" spans="2:6" ht="26.4">
      <c r="B57" s="179">
        <v>141</v>
      </c>
      <c r="D57" s="181" t="s">
        <v>41</v>
      </c>
      <c r="E57" s="181" t="s">
        <v>866</v>
      </c>
      <c r="F57" s="181" t="s">
        <v>866</v>
      </c>
    </row>
    <row r="58" spans="2:6" ht="13.2">
      <c r="B58" s="179">
        <v>142</v>
      </c>
      <c r="D58" s="181" t="s">
        <v>500</v>
      </c>
      <c r="E58" s="181" t="s">
        <v>867</v>
      </c>
      <c r="F58" s="181" t="s">
        <v>867</v>
      </c>
    </row>
    <row r="59" spans="2:6" ht="13.2">
      <c r="B59" s="179">
        <v>143</v>
      </c>
      <c r="C59" s="180" t="s">
        <v>470</v>
      </c>
      <c r="D59" s="178" t="s">
        <v>349</v>
      </c>
      <c r="E59" s="186" t="s">
        <v>868</v>
      </c>
      <c r="F59" s="186" t="s">
        <v>868</v>
      </c>
    </row>
    <row r="60" spans="2:6" ht="13.2">
      <c r="B60" s="179">
        <v>144</v>
      </c>
      <c r="D60" s="181" t="s">
        <v>42</v>
      </c>
      <c r="E60" s="181" t="s">
        <v>869</v>
      </c>
      <c r="F60" s="181" t="s">
        <v>869</v>
      </c>
    </row>
    <row r="61" spans="2:6" ht="26.4">
      <c r="B61" s="179">
        <v>145</v>
      </c>
      <c r="D61" s="181" t="s">
        <v>43</v>
      </c>
      <c r="E61" s="181" t="s">
        <v>870</v>
      </c>
      <c r="F61" s="181" t="s">
        <v>870</v>
      </c>
    </row>
    <row r="62" spans="2:6" ht="13.2">
      <c r="B62" s="179">
        <v>146</v>
      </c>
      <c r="D62" s="181" t="s">
        <v>44</v>
      </c>
      <c r="E62" s="181" t="s">
        <v>871</v>
      </c>
      <c r="F62" s="181" t="s">
        <v>871</v>
      </c>
    </row>
    <row r="63" spans="2:6" ht="26.4">
      <c r="B63" s="179">
        <v>147</v>
      </c>
      <c r="D63" s="181" t="s">
        <v>45</v>
      </c>
      <c r="E63" s="181" t="s">
        <v>872</v>
      </c>
      <c r="F63" s="181" t="s">
        <v>872</v>
      </c>
    </row>
    <row r="64" spans="2:6" ht="13.2">
      <c r="B64" s="179">
        <v>148</v>
      </c>
      <c r="D64" s="181" t="s">
        <v>501</v>
      </c>
      <c r="E64" s="181" t="s">
        <v>873</v>
      </c>
      <c r="F64" s="181" t="s">
        <v>873</v>
      </c>
    </row>
    <row r="65" spans="1:6" ht="13.2">
      <c r="B65" s="179">
        <v>149</v>
      </c>
      <c r="D65" s="181" t="s">
        <v>502</v>
      </c>
      <c r="E65" s="181" t="s">
        <v>874</v>
      </c>
      <c r="F65" s="181" t="s">
        <v>874</v>
      </c>
    </row>
    <row r="66" spans="1:6" ht="13.2">
      <c r="B66" s="179">
        <v>150</v>
      </c>
      <c r="D66" s="181" t="s">
        <v>46</v>
      </c>
      <c r="E66" s="181" t="s">
        <v>875</v>
      </c>
      <c r="F66" s="181" t="s">
        <v>875</v>
      </c>
    </row>
    <row r="67" spans="1:6" ht="13.2">
      <c r="B67" s="179">
        <v>151</v>
      </c>
      <c r="C67" s="180" t="s">
        <v>470</v>
      </c>
      <c r="D67" s="178" t="s">
        <v>350</v>
      </c>
      <c r="E67" s="186" t="s">
        <v>876</v>
      </c>
      <c r="F67" s="186" t="s">
        <v>876</v>
      </c>
    </row>
    <row r="68" spans="1:6" ht="13.2">
      <c r="B68" s="179">
        <v>152</v>
      </c>
      <c r="D68" s="181" t="s">
        <v>47</v>
      </c>
      <c r="E68" s="181" t="s">
        <v>877</v>
      </c>
      <c r="F68" s="181" t="s">
        <v>877</v>
      </c>
    </row>
    <row r="69" spans="1:6" ht="13.2">
      <c r="B69" s="179">
        <v>153</v>
      </c>
      <c r="D69" s="181" t="s">
        <v>48</v>
      </c>
      <c r="E69" s="181" t="s">
        <v>878</v>
      </c>
      <c r="F69" s="181" t="s">
        <v>878</v>
      </c>
    </row>
    <row r="70" spans="1:6" ht="13.2">
      <c r="B70" s="179">
        <v>154</v>
      </c>
      <c r="D70" s="181" t="s">
        <v>49</v>
      </c>
      <c r="E70" s="181" t="s">
        <v>879</v>
      </c>
      <c r="F70" s="181" t="s">
        <v>879</v>
      </c>
    </row>
    <row r="71" spans="1:6" ht="26.4">
      <c r="B71" s="179">
        <v>155</v>
      </c>
      <c r="D71" s="181" t="s">
        <v>50</v>
      </c>
      <c r="E71" s="181" t="s">
        <v>880</v>
      </c>
      <c r="F71" s="181" t="s">
        <v>880</v>
      </c>
    </row>
    <row r="72" spans="1:6" ht="13.2">
      <c r="B72" s="179">
        <v>156</v>
      </c>
      <c r="C72" s="180" t="s">
        <v>470</v>
      </c>
      <c r="D72" s="178" t="s">
        <v>468</v>
      </c>
      <c r="E72" s="186" t="s">
        <v>881</v>
      </c>
      <c r="F72" s="186" t="s">
        <v>881</v>
      </c>
    </row>
    <row r="73" spans="1:6" ht="13.2">
      <c r="B73" s="179">
        <v>157</v>
      </c>
      <c r="C73" s="180" t="s">
        <v>470</v>
      </c>
      <c r="D73" s="178" t="s">
        <v>467</v>
      </c>
      <c r="E73" s="186" t="s">
        <v>882</v>
      </c>
      <c r="F73" s="186" t="s">
        <v>882</v>
      </c>
    </row>
    <row r="74" spans="1:6" ht="13.2">
      <c r="B74" s="179">
        <v>158</v>
      </c>
      <c r="D74" s="181" t="s">
        <v>351</v>
      </c>
      <c r="E74" s="181" t="s">
        <v>883</v>
      </c>
      <c r="F74" s="181" t="s">
        <v>883</v>
      </c>
    </row>
    <row r="75" spans="1:6" ht="13.2">
      <c r="A75" s="187"/>
      <c r="B75" s="179">
        <v>159</v>
      </c>
      <c r="C75" s="184" t="s">
        <v>414</v>
      </c>
      <c r="D75" s="182" t="s">
        <v>434</v>
      </c>
      <c r="E75" s="182" t="s">
        <v>884</v>
      </c>
      <c r="F75" s="182" t="s">
        <v>884</v>
      </c>
    </row>
    <row r="76" spans="1:6" ht="13.2">
      <c r="B76" s="179">
        <v>160</v>
      </c>
      <c r="D76" s="181" t="s">
        <v>51</v>
      </c>
      <c r="E76" s="182" t="s">
        <v>885</v>
      </c>
      <c r="F76" s="182" t="s">
        <v>885</v>
      </c>
    </row>
    <row r="77" spans="1:6" ht="13.2">
      <c r="B77" s="179">
        <v>161</v>
      </c>
      <c r="D77" s="181" t="s">
        <v>52</v>
      </c>
      <c r="E77" s="182" t="s">
        <v>886</v>
      </c>
      <c r="F77" s="182" t="s">
        <v>886</v>
      </c>
    </row>
    <row r="78" spans="1:6" ht="13.2">
      <c r="B78" s="179">
        <v>162</v>
      </c>
      <c r="D78" s="181" t="s">
        <v>514</v>
      </c>
      <c r="E78" s="181" t="s">
        <v>887</v>
      </c>
      <c r="F78" s="181" t="s">
        <v>887</v>
      </c>
    </row>
    <row r="79" spans="1:6" ht="13.2">
      <c r="B79" s="179">
        <v>163</v>
      </c>
      <c r="D79" s="181" t="s">
        <v>512</v>
      </c>
      <c r="E79" s="181" t="s">
        <v>888</v>
      </c>
      <c r="F79" s="181" t="s">
        <v>888</v>
      </c>
    </row>
    <row r="80" spans="1:6" ht="13.2">
      <c r="B80" s="179">
        <v>164</v>
      </c>
      <c r="D80" s="181" t="s">
        <v>511</v>
      </c>
      <c r="E80" s="181" t="s">
        <v>889</v>
      </c>
      <c r="F80" s="181" t="s">
        <v>889</v>
      </c>
    </row>
    <row r="81" spans="1:6" ht="13.2">
      <c r="A81" s="187"/>
      <c r="B81" s="179">
        <v>165</v>
      </c>
      <c r="C81" s="184" t="s">
        <v>414</v>
      </c>
      <c r="D81" s="182" t="s">
        <v>435</v>
      </c>
      <c r="E81" s="182" t="s">
        <v>890</v>
      </c>
      <c r="F81" s="182" t="s">
        <v>890</v>
      </c>
    </row>
    <row r="82" spans="1:6" ht="13.2">
      <c r="A82" s="187"/>
      <c r="B82" s="179">
        <v>166</v>
      </c>
      <c r="C82" s="184" t="s">
        <v>414</v>
      </c>
      <c r="D82" s="182" t="s">
        <v>436</v>
      </c>
      <c r="E82" s="182" t="s">
        <v>891</v>
      </c>
      <c r="F82" s="182" t="s">
        <v>891</v>
      </c>
    </row>
    <row r="83" spans="1:6" ht="13.2">
      <c r="A83" s="187"/>
      <c r="B83" s="179">
        <v>167</v>
      </c>
      <c r="C83" s="184" t="s">
        <v>414</v>
      </c>
      <c r="D83" s="182" t="s">
        <v>437</v>
      </c>
      <c r="E83" s="182" t="s">
        <v>892</v>
      </c>
      <c r="F83" s="182" t="s">
        <v>892</v>
      </c>
    </row>
    <row r="84" spans="1:6" ht="13.2">
      <c r="A84" s="187"/>
      <c r="B84" s="179">
        <v>168</v>
      </c>
      <c r="C84" s="184" t="s">
        <v>414</v>
      </c>
      <c r="D84" s="182" t="s">
        <v>422</v>
      </c>
      <c r="E84" s="182" t="s">
        <v>893</v>
      </c>
      <c r="F84" s="182" t="s">
        <v>893</v>
      </c>
    </row>
    <row r="85" spans="1:6" ht="13.2">
      <c r="B85" s="179">
        <v>169</v>
      </c>
      <c r="D85" s="181" t="s">
        <v>53</v>
      </c>
      <c r="E85" s="181" t="s">
        <v>894</v>
      </c>
      <c r="F85" s="181" t="s">
        <v>894</v>
      </c>
    </row>
    <row r="86" spans="1:6" ht="13.2">
      <c r="B86" s="179">
        <v>170</v>
      </c>
      <c r="D86" s="181" t="s">
        <v>54</v>
      </c>
      <c r="E86" s="181" t="s">
        <v>895</v>
      </c>
      <c r="F86" s="181" t="s">
        <v>895</v>
      </c>
    </row>
    <row r="87" spans="1:6" ht="13.2">
      <c r="B87" s="179">
        <v>171</v>
      </c>
      <c r="D87" s="181" t="s">
        <v>438</v>
      </c>
      <c r="E87" s="181" t="s">
        <v>896</v>
      </c>
      <c r="F87" s="181" t="s">
        <v>896</v>
      </c>
    </row>
    <row r="88" spans="1:6" ht="13.2">
      <c r="B88" s="179">
        <v>172</v>
      </c>
      <c r="D88" s="181" t="s">
        <v>55</v>
      </c>
      <c r="E88" s="181" t="s">
        <v>897</v>
      </c>
      <c r="F88" s="181" t="s">
        <v>897</v>
      </c>
    </row>
    <row r="89" spans="1:6" ht="13.2">
      <c r="B89" s="179">
        <v>173</v>
      </c>
      <c r="D89" s="181" t="s">
        <v>56</v>
      </c>
      <c r="E89" s="181" t="s">
        <v>898</v>
      </c>
      <c r="F89" s="181" t="s">
        <v>898</v>
      </c>
    </row>
    <row r="90" spans="1:6" ht="13.2">
      <c r="B90" s="179">
        <v>174</v>
      </c>
      <c r="D90" s="181" t="s">
        <v>57</v>
      </c>
      <c r="E90" s="181" t="s">
        <v>899</v>
      </c>
      <c r="F90" s="181" t="s">
        <v>899</v>
      </c>
    </row>
    <row r="91" spans="1:6" ht="13.2">
      <c r="B91" s="179">
        <v>175</v>
      </c>
      <c r="D91" s="181" t="s">
        <v>58</v>
      </c>
      <c r="E91" s="181" t="s">
        <v>900</v>
      </c>
      <c r="F91" s="181" t="s">
        <v>900</v>
      </c>
    </row>
    <row r="92" spans="1:6" ht="26.4">
      <c r="B92" s="179">
        <v>176</v>
      </c>
      <c r="D92" s="181" t="s">
        <v>59</v>
      </c>
      <c r="E92" s="181" t="s">
        <v>901</v>
      </c>
      <c r="F92" s="181" t="s">
        <v>901</v>
      </c>
    </row>
    <row r="93" spans="1:6" ht="13.2">
      <c r="B93" s="179">
        <v>177</v>
      </c>
      <c r="D93" s="181" t="s">
        <v>60</v>
      </c>
      <c r="E93" s="181" t="s">
        <v>902</v>
      </c>
      <c r="F93" s="181" t="s">
        <v>902</v>
      </c>
    </row>
    <row r="94" spans="1:6" ht="13.2">
      <c r="B94" s="179">
        <v>178</v>
      </c>
      <c r="D94" s="181" t="s">
        <v>61</v>
      </c>
      <c r="E94" s="181" t="s">
        <v>903</v>
      </c>
      <c r="F94" s="181" t="s">
        <v>903</v>
      </c>
    </row>
    <row r="95" spans="1:6" ht="13.2">
      <c r="B95" s="179">
        <v>179</v>
      </c>
      <c r="D95" s="181" t="s">
        <v>62</v>
      </c>
      <c r="E95" s="181" t="s">
        <v>904</v>
      </c>
      <c r="F95" s="181" t="s">
        <v>904</v>
      </c>
    </row>
    <row r="96" spans="1:6" ht="13.2">
      <c r="B96" s="179">
        <v>180</v>
      </c>
      <c r="D96" s="181" t="s">
        <v>352</v>
      </c>
      <c r="E96" s="181" t="s">
        <v>905</v>
      </c>
      <c r="F96" s="181" t="s">
        <v>905</v>
      </c>
    </row>
    <row r="97" spans="2:6" ht="13.2">
      <c r="B97" s="179">
        <v>181</v>
      </c>
      <c r="C97" s="180" t="s">
        <v>547</v>
      </c>
      <c r="D97" s="181" t="s">
        <v>568</v>
      </c>
      <c r="E97" s="181" t="s">
        <v>906</v>
      </c>
      <c r="F97" s="181" t="s">
        <v>906</v>
      </c>
    </row>
    <row r="98" spans="2:6" ht="39.6">
      <c r="B98" s="179">
        <v>182</v>
      </c>
      <c r="C98" s="180" t="s">
        <v>547</v>
      </c>
      <c r="D98" s="181" t="s">
        <v>588</v>
      </c>
      <c r="E98" s="181" t="s">
        <v>907</v>
      </c>
      <c r="F98" s="181" t="s">
        <v>907</v>
      </c>
    </row>
    <row r="99" spans="2:6" ht="13.2">
      <c r="B99" s="179">
        <v>183</v>
      </c>
      <c r="D99" s="181" t="s">
        <v>63</v>
      </c>
      <c r="E99" s="181" t="s">
        <v>908</v>
      </c>
      <c r="F99" s="181" t="s">
        <v>908</v>
      </c>
    </row>
    <row r="100" spans="2:6" ht="13.2">
      <c r="B100" s="179">
        <v>184</v>
      </c>
      <c r="D100" s="181" t="s">
        <v>623</v>
      </c>
      <c r="E100" s="181" t="s">
        <v>909</v>
      </c>
      <c r="F100" s="181" t="s">
        <v>909</v>
      </c>
    </row>
    <row r="101" spans="2:6" ht="13.2">
      <c r="B101" s="179">
        <v>185</v>
      </c>
      <c r="D101" s="181" t="s">
        <v>64</v>
      </c>
      <c r="E101" s="181" t="s">
        <v>910</v>
      </c>
      <c r="F101" s="181" t="s">
        <v>910</v>
      </c>
    </row>
    <row r="102" spans="2:6" ht="24">
      <c r="B102" s="179">
        <v>186</v>
      </c>
      <c r="D102" s="181" t="s">
        <v>65</v>
      </c>
      <c r="E102" s="181" t="s">
        <v>911</v>
      </c>
      <c r="F102" s="181" t="s">
        <v>911</v>
      </c>
    </row>
    <row r="103" spans="2:6" ht="24">
      <c r="B103" s="179">
        <v>187</v>
      </c>
      <c r="D103" s="181" t="s">
        <v>66</v>
      </c>
      <c r="E103" s="181" t="s">
        <v>912</v>
      </c>
      <c r="F103" s="181" t="s">
        <v>912</v>
      </c>
    </row>
    <row r="104" spans="2:6" ht="13.2">
      <c r="B104" s="179">
        <v>188</v>
      </c>
      <c r="D104" s="181" t="s">
        <v>67</v>
      </c>
      <c r="E104" s="181" t="s">
        <v>913</v>
      </c>
      <c r="F104" s="181" t="s">
        <v>913</v>
      </c>
    </row>
    <row r="105" spans="2:6" ht="13.2">
      <c r="B105" s="179">
        <v>189</v>
      </c>
      <c r="D105" s="181" t="s">
        <v>68</v>
      </c>
      <c r="E105" s="181" t="s">
        <v>914</v>
      </c>
      <c r="F105" s="181" t="s">
        <v>914</v>
      </c>
    </row>
    <row r="106" spans="2:6" ht="13.2">
      <c r="B106" s="179">
        <v>190</v>
      </c>
      <c r="C106" s="180" t="s">
        <v>547</v>
      </c>
      <c r="D106" s="181" t="s">
        <v>566</v>
      </c>
      <c r="E106" s="181" t="s">
        <v>915</v>
      </c>
      <c r="F106" s="181" t="s">
        <v>915</v>
      </c>
    </row>
    <row r="107" spans="2:6" ht="13.2">
      <c r="B107" s="179">
        <v>191</v>
      </c>
      <c r="D107" s="181" t="s">
        <v>594</v>
      </c>
      <c r="E107" s="181" t="s">
        <v>916</v>
      </c>
      <c r="F107" s="181" t="s">
        <v>916</v>
      </c>
    </row>
    <row r="108" spans="2:6" ht="13.2">
      <c r="B108" s="179">
        <v>192</v>
      </c>
      <c r="D108" s="181" t="s">
        <v>456</v>
      </c>
      <c r="E108" s="181" t="s">
        <v>917</v>
      </c>
      <c r="F108" s="181" t="s">
        <v>917</v>
      </c>
    </row>
    <row r="109" spans="2:6" ht="13.2">
      <c r="B109" s="179">
        <v>193</v>
      </c>
      <c r="D109" s="181" t="s">
        <v>457</v>
      </c>
      <c r="E109" s="181" t="s">
        <v>918</v>
      </c>
      <c r="F109" s="181" t="s">
        <v>918</v>
      </c>
    </row>
    <row r="110" spans="2:6" ht="13.2">
      <c r="B110" s="179">
        <v>194</v>
      </c>
      <c r="D110" s="181" t="s">
        <v>69</v>
      </c>
      <c r="E110" s="181" t="s">
        <v>919</v>
      </c>
      <c r="F110" s="181" t="s">
        <v>919</v>
      </c>
    </row>
    <row r="111" spans="2:6" ht="13.2">
      <c r="B111" s="179">
        <v>195</v>
      </c>
      <c r="D111" s="181" t="s">
        <v>70</v>
      </c>
      <c r="E111" s="181" t="s">
        <v>920</v>
      </c>
      <c r="F111" s="181" t="s">
        <v>920</v>
      </c>
    </row>
    <row r="112" spans="2:6" ht="13.2">
      <c r="B112" s="179">
        <v>196</v>
      </c>
      <c r="D112" s="181" t="s">
        <v>353</v>
      </c>
      <c r="E112" s="181" t="s">
        <v>921</v>
      </c>
      <c r="F112" s="181" t="s">
        <v>921</v>
      </c>
    </row>
    <row r="113" spans="2:6" ht="24">
      <c r="B113" s="179">
        <v>197</v>
      </c>
      <c r="D113" s="181" t="s">
        <v>354</v>
      </c>
      <c r="E113" s="181" t="s">
        <v>922</v>
      </c>
      <c r="F113" s="181" t="s">
        <v>922</v>
      </c>
    </row>
    <row r="114" spans="2:6" ht="24">
      <c r="B114" s="179">
        <v>198</v>
      </c>
      <c r="D114" s="181" t="s">
        <v>71</v>
      </c>
      <c r="E114" s="181" t="s">
        <v>923</v>
      </c>
      <c r="F114" s="181" t="s">
        <v>923</v>
      </c>
    </row>
    <row r="115" spans="2:6" ht="13.2">
      <c r="B115" s="179">
        <v>199</v>
      </c>
      <c r="D115" s="181" t="s">
        <v>625</v>
      </c>
      <c r="E115" s="181" t="s">
        <v>924</v>
      </c>
      <c r="F115" s="181" t="s">
        <v>924</v>
      </c>
    </row>
    <row r="116" spans="2:6">
      <c r="B116" s="179">
        <v>200</v>
      </c>
      <c r="D116" s="181" t="s">
        <v>72</v>
      </c>
      <c r="E116" s="181" t="s">
        <v>73</v>
      </c>
      <c r="F116" s="181" t="s">
        <v>73</v>
      </c>
    </row>
    <row r="117" spans="2:6" ht="13.2">
      <c r="B117" s="179">
        <v>201</v>
      </c>
      <c r="D117" s="181" t="s">
        <v>617</v>
      </c>
      <c r="E117" s="181" t="s">
        <v>925</v>
      </c>
      <c r="F117" s="181" t="s">
        <v>925</v>
      </c>
    </row>
    <row r="118" spans="2:6" ht="13.2">
      <c r="B118" s="179">
        <v>202</v>
      </c>
      <c r="D118" s="181" t="s">
        <v>355</v>
      </c>
      <c r="E118" s="181" t="s">
        <v>926</v>
      </c>
      <c r="F118" s="181" t="s">
        <v>926</v>
      </c>
    </row>
    <row r="119" spans="2:6" ht="13.2">
      <c r="B119" s="179">
        <v>203</v>
      </c>
      <c r="D119" s="181" t="s">
        <v>356</v>
      </c>
      <c r="E119" s="181" t="s">
        <v>927</v>
      </c>
      <c r="F119" s="181" t="s">
        <v>927</v>
      </c>
    </row>
    <row r="120" spans="2:6" ht="13.2">
      <c r="B120" s="179">
        <v>204</v>
      </c>
      <c r="D120" s="181" t="s">
        <v>357</v>
      </c>
      <c r="E120" s="181" t="s">
        <v>928</v>
      </c>
      <c r="F120" s="181" t="s">
        <v>928</v>
      </c>
    </row>
    <row r="121" spans="2:6" ht="13.2">
      <c r="B121" s="179">
        <v>205</v>
      </c>
      <c r="D121" s="181" t="s">
        <v>608</v>
      </c>
      <c r="E121" s="181" t="s">
        <v>929</v>
      </c>
      <c r="F121" s="181" t="s">
        <v>929</v>
      </c>
    </row>
    <row r="122" spans="2:6" ht="13.2">
      <c r="B122" s="179">
        <v>206</v>
      </c>
      <c r="D122" s="181" t="s">
        <v>601</v>
      </c>
      <c r="E122" s="181" t="s">
        <v>930</v>
      </c>
      <c r="F122" s="181" t="s">
        <v>930</v>
      </c>
    </row>
    <row r="123" spans="2:6" ht="13.2">
      <c r="B123" s="179">
        <v>207</v>
      </c>
      <c r="D123" s="181" t="s">
        <v>74</v>
      </c>
      <c r="E123" s="181" t="s">
        <v>931</v>
      </c>
      <c r="F123" s="181" t="s">
        <v>931</v>
      </c>
    </row>
    <row r="124" spans="2:6" ht="24">
      <c r="B124" s="179">
        <v>208</v>
      </c>
      <c r="D124" s="181" t="s">
        <v>75</v>
      </c>
      <c r="E124" s="181" t="s">
        <v>932</v>
      </c>
      <c r="F124" s="181" t="s">
        <v>932</v>
      </c>
    </row>
    <row r="125" spans="2:6" ht="24">
      <c r="B125" s="179">
        <v>209</v>
      </c>
      <c r="D125" s="181" t="s">
        <v>76</v>
      </c>
      <c r="E125" s="181" t="s">
        <v>933</v>
      </c>
      <c r="F125" s="181" t="s">
        <v>933</v>
      </c>
    </row>
    <row r="126" spans="2:6" ht="13.2">
      <c r="B126" s="179">
        <v>210</v>
      </c>
      <c r="D126" s="181" t="s">
        <v>458</v>
      </c>
      <c r="E126" s="181" t="s">
        <v>934</v>
      </c>
      <c r="F126" s="181" t="s">
        <v>934</v>
      </c>
    </row>
    <row r="127" spans="2:6">
      <c r="B127" s="179">
        <v>211</v>
      </c>
      <c r="D127" s="181" t="s">
        <v>77</v>
      </c>
      <c r="E127" s="181" t="s">
        <v>77</v>
      </c>
      <c r="F127" s="181" t="s">
        <v>77</v>
      </c>
    </row>
    <row r="128" spans="2:6" ht="13.2">
      <c r="B128" s="179">
        <v>212</v>
      </c>
      <c r="D128" s="181" t="s">
        <v>78</v>
      </c>
      <c r="E128" s="181" t="s">
        <v>935</v>
      </c>
      <c r="F128" s="181" t="s">
        <v>935</v>
      </c>
    </row>
    <row r="129" spans="2:6" ht="13.2">
      <c r="B129" s="179">
        <v>213</v>
      </c>
      <c r="D129" s="181" t="s">
        <v>79</v>
      </c>
      <c r="E129" s="181" t="s">
        <v>936</v>
      </c>
      <c r="F129" s="181" t="s">
        <v>936</v>
      </c>
    </row>
    <row r="130" spans="2:6" ht="13.2">
      <c r="B130" s="179">
        <v>214</v>
      </c>
      <c r="D130" s="181" t="s">
        <v>80</v>
      </c>
      <c r="E130" s="181" t="s">
        <v>937</v>
      </c>
      <c r="F130" s="181" t="s">
        <v>937</v>
      </c>
    </row>
    <row r="131" spans="2:6" ht="13.2">
      <c r="B131" s="179">
        <v>215</v>
      </c>
      <c r="D131" s="181" t="s">
        <v>358</v>
      </c>
      <c r="E131" s="181" t="s">
        <v>938</v>
      </c>
      <c r="F131" s="181" t="s">
        <v>938</v>
      </c>
    </row>
    <row r="132" spans="2:6" ht="13.2">
      <c r="B132" s="179">
        <v>216</v>
      </c>
      <c r="D132" s="181" t="s">
        <v>81</v>
      </c>
      <c r="E132" s="181" t="s">
        <v>939</v>
      </c>
      <c r="F132" s="181" t="s">
        <v>939</v>
      </c>
    </row>
    <row r="133" spans="2:6" ht="13.2">
      <c r="B133" s="179">
        <v>217</v>
      </c>
      <c r="D133" s="181" t="s">
        <v>359</v>
      </c>
      <c r="E133" s="181" t="s">
        <v>940</v>
      </c>
      <c r="F133" s="181" t="s">
        <v>940</v>
      </c>
    </row>
    <row r="134" spans="2:6" ht="13.2">
      <c r="B134" s="179">
        <v>218</v>
      </c>
      <c r="D134" s="181" t="s">
        <v>82</v>
      </c>
      <c r="E134" s="181" t="s">
        <v>941</v>
      </c>
      <c r="F134" s="181" t="s">
        <v>941</v>
      </c>
    </row>
    <row r="135" spans="2:6" ht="13.2">
      <c r="B135" s="179">
        <v>219</v>
      </c>
      <c r="D135" s="181" t="s">
        <v>83</v>
      </c>
      <c r="E135" s="181" t="s">
        <v>942</v>
      </c>
      <c r="F135" s="181" t="s">
        <v>942</v>
      </c>
    </row>
    <row r="136" spans="2:6" ht="13.2">
      <c r="B136" s="179">
        <v>220</v>
      </c>
      <c r="D136" s="181" t="s">
        <v>84</v>
      </c>
      <c r="E136" s="181" t="s">
        <v>943</v>
      </c>
      <c r="F136" s="181" t="s">
        <v>943</v>
      </c>
    </row>
    <row r="137" spans="2:6" ht="13.2">
      <c r="B137" s="179">
        <v>221</v>
      </c>
      <c r="D137" s="181" t="s">
        <v>360</v>
      </c>
      <c r="E137" s="181" t="s">
        <v>944</v>
      </c>
      <c r="F137" s="181" t="s">
        <v>944</v>
      </c>
    </row>
    <row r="138" spans="2:6" ht="13.2">
      <c r="B138" s="179">
        <v>222</v>
      </c>
      <c r="D138" s="181" t="s">
        <v>85</v>
      </c>
      <c r="E138" s="181" t="s">
        <v>945</v>
      </c>
      <c r="F138" s="181" t="s">
        <v>945</v>
      </c>
    </row>
    <row r="139" spans="2:6" ht="13.2">
      <c r="B139" s="179">
        <v>223</v>
      </c>
      <c r="D139" s="181" t="s">
        <v>86</v>
      </c>
      <c r="E139" s="181" t="s">
        <v>946</v>
      </c>
      <c r="F139" s="181" t="s">
        <v>946</v>
      </c>
    </row>
    <row r="140" spans="2:6" ht="13.2">
      <c r="B140" s="179">
        <v>224</v>
      </c>
      <c r="C140" s="180" t="s">
        <v>470</v>
      </c>
      <c r="D140" s="181" t="s">
        <v>479</v>
      </c>
      <c r="E140" s="181" t="s">
        <v>947</v>
      </c>
      <c r="F140" s="181" t="s">
        <v>947</v>
      </c>
    </row>
    <row r="141" spans="2:6" ht="13.2">
      <c r="B141" s="179">
        <v>225</v>
      </c>
      <c r="D141" s="181" t="s">
        <v>87</v>
      </c>
      <c r="E141" s="181" t="s">
        <v>948</v>
      </c>
      <c r="F141" s="181" t="s">
        <v>948</v>
      </c>
    </row>
    <row r="142" spans="2:6" ht="13.2">
      <c r="B142" s="179">
        <v>226</v>
      </c>
      <c r="D142" s="181" t="s">
        <v>590</v>
      </c>
      <c r="E142" s="181" t="s">
        <v>949</v>
      </c>
      <c r="F142" s="181" t="s">
        <v>949</v>
      </c>
    </row>
    <row r="143" spans="2:6" ht="13.2">
      <c r="B143" s="179">
        <v>227</v>
      </c>
      <c r="D143" s="181" t="s">
        <v>361</v>
      </c>
      <c r="E143" s="181" t="s">
        <v>950</v>
      </c>
      <c r="F143" s="181" t="s">
        <v>950</v>
      </c>
    </row>
    <row r="144" spans="2:6" ht="13.2">
      <c r="B144" s="179">
        <v>228</v>
      </c>
      <c r="D144" s="181" t="s">
        <v>362</v>
      </c>
      <c r="E144" s="181" t="s">
        <v>951</v>
      </c>
      <c r="F144" s="181" t="s">
        <v>951</v>
      </c>
    </row>
    <row r="145" spans="2:6" ht="13.2">
      <c r="B145" s="179">
        <v>229</v>
      </c>
      <c r="D145" s="181" t="s">
        <v>544</v>
      </c>
      <c r="E145" s="181" t="s">
        <v>952</v>
      </c>
      <c r="F145" s="181" t="s">
        <v>952</v>
      </c>
    </row>
    <row r="146" spans="2:6" ht="13.2">
      <c r="B146" s="179">
        <v>230</v>
      </c>
      <c r="D146" s="181" t="s">
        <v>543</v>
      </c>
      <c r="E146" s="181" t="s">
        <v>953</v>
      </c>
      <c r="F146" s="181" t="s">
        <v>953</v>
      </c>
    </row>
    <row r="147" spans="2:6" ht="13.2">
      <c r="B147" s="179">
        <v>231</v>
      </c>
      <c r="D147" s="181" t="s">
        <v>363</v>
      </c>
      <c r="E147" s="181" t="s">
        <v>954</v>
      </c>
      <c r="F147" s="181" t="s">
        <v>954</v>
      </c>
    </row>
    <row r="148" spans="2:6" ht="13.2">
      <c r="B148" s="179">
        <v>232</v>
      </c>
      <c r="D148" s="181" t="s">
        <v>605</v>
      </c>
      <c r="E148" s="181" t="s">
        <v>955</v>
      </c>
      <c r="F148" s="181" t="s">
        <v>955</v>
      </c>
    </row>
    <row r="149" spans="2:6" ht="13.2">
      <c r="B149" s="179">
        <v>233</v>
      </c>
      <c r="D149" s="181" t="s">
        <v>364</v>
      </c>
      <c r="E149" s="181" t="s">
        <v>956</v>
      </c>
      <c r="F149" s="181" t="s">
        <v>956</v>
      </c>
    </row>
    <row r="150" spans="2:6" ht="13.2">
      <c r="B150" s="179">
        <v>234</v>
      </c>
      <c r="D150" s="181" t="s">
        <v>365</v>
      </c>
      <c r="E150" s="181" t="s">
        <v>957</v>
      </c>
      <c r="F150" s="181" t="s">
        <v>957</v>
      </c>
    </row>
    <row r="151" spans="2:6" ht="13.2">
      <c r="B151" s="179">
        <v>235</v>
      </c>
      <c r="D151" s="181" t="s">
        <v>88</v>
      </c>
      <c r="E151" s="181" t="s">
        <v>958</v>
      </c>
      <c r="F151" s="181" t="s">
        <v>958</v>
      </c>
    </row>
    <row r="152" spans="2:6" ht="13.2">
      <c r="B152" s="179">
        <v>236</v>
      </c>
      <c r="D152" s="181" t="s">
        <v>366</v>
      </c>
      <c r="E152" s="181" t="s">
        <v>959</v>
      </c>
      <c r="F152" s="181" t="s">
        <v>959</v>
      </c>
    </row>
    <row r="153" spans="2:6" ht="13.2">
      <c r="B153" s="179">
        <v>237</v>
      </c>
      <c r="D153" s="181" t="s">
        <v>602</v>
      </c>
      <c r="E153" s="181" t="s">
        <v>960</v>
      </c>
      <c r="F153" s="181" t="s">
        <v>960</v>
      </c>
    </row>
    <row r="154" spans="2:6" ht="13.2">
      <c r="B154" s="179">
        <v>238</v>
      </c>
      <c r="D154" s="181" t="s">
        <v>89</v>
      </c>
      <c r="E154" s="181" t="s">
        <v>961</v>
      </c>
      <c r="F154" s="181" t="s">
        <v>961</v>
      </c>
    </row>
    <row r="155" spans="2:6" ht="13.2">
      <c r="B155" s="179">
        <v>239</v>
      </c>
      <c r="D155" s="181" t="s">
        <v>90</v>
      </c>
      <c r="E155" s="181" t="s">
        <v>962</v>
      </c>
      <c r="F155" s="181" t="s">
        <v>962</v>
      </c>
    </row>
    <row r="156" spans="2:6" ht="13.2">
      <c r="B156" s="179">
        <v>240</v>
      </c>
      <c r="D156" s="181" t="s">
        <v>91</v>
      </c>
      <c r="E156" s="181" t="s">
        <v>963</v>
      </c>
      <c r="F156" s="181" t="s">
        <v>963</v>
      </c>
    </row>
    <row r="157" spans="2:6" ht="13.2">
      <c r="B157" s="179">
        <v>241</v>
      </c>
      <c r="D157" s="181" t="s">
        <v>367</v>
      </c>
      <c r="E157" s="181" t="s">
        <v>964</v>
      </c>
      <c r="F157" s="181" t="s">
        <v>964</v>
      </c>
    </row>
    <row r="158" spans="2:6" ht="13.2">
      <c r="B158" s="179">
        <v>242</v>
      </c>
      <c r="D158" s="181" t="s">
        <v>368</v>
      </c>
      <c r="E158" s="181" t="s">
        <v>965</v>
      </c>
      <c r="F158" s="181" t="s">
        <v>965</v>
      </c>
    </row>
    <row r="159" spans="2:6" ht="13.2">
      <c r="B159" s="179">
        <v>243</v>
      </c>
      <c r="D159" s="181" t="s">
        <v>591</v>
      </c>
      <c r="E159" s="181" t="s">
        <v>966</v>
      </c>
      <c r="F159" s="181" t="s">
        <v>966</v>
      </c>
    </row>
    <row r="160" spans="2:6" ht="13.2">
      <c r="B160" s="179">
        <v>244</v>
      </c>
      <c r="D160" s="181" t="s">
        <v>651</v>
      </c>
      <c r="E160" s="181" t="s">
        <v>967</v>
      </c>
      <c r="F160" s="181" t="s">
        <v>967</v>
      </c>
    </row>
    <row r="161" spans="2:6" ht="13.2">
      <c r="B161" s="179">
        <v>245</v>
      </c>
      <c r="D161" s="181" t="s">
        <v>652</v>
      </c>
      <c r="E161" s="181" t="s">
        <v>968</v>
      </c>
      <c r="F161" s="181" t="s">
        <v>968</v>
      </c>
    </row>
    <row r="162" spans="2:6" ht="13.2">
      <c r="B162" s="179">
        <v>246</v>
      </c>
      <c r="D162" s="181" t="s">
        <v>369</v>
      </c>
      <c r="E162" s="181" t="s">
        <v>969</v>
      </c>
      <c r="F162" s="181" t="s">
        <v>969</v>
      </c>
    </row>
    <row r="163" spans="2:6" ht="13.2">
      <c r="B163" s="179">
        <v>247</v>
      </c>
      <c r="D163" s="181" t="s">
        <v>593</v>
      </c>
      <c r="E163" s="181" t="s">
        <v>970</v>
      </c>
      <c r="F163" s="181" t="s">
        <v>970</v>
      </c>
    </row>
    <row r="164" spans="2:6" ht="13.2">
      <c r="B164" s="179">
        <v>248</v>
      </c>
      <c r="D164" s="181" t="s">
        <v>370</v>
      </c>
      <c r="E164" s="181" t="s">
        <v>971</v>
      </c>
      <c r="F164" s="181" t="s">
        <v>971</v>
      </c>
    </row>
    <row r="165" spans="2:6" ht="13.2">
      <c r="B165" s="179">
        <v>249</v>
      </c>
      <c r="D165" s="181" t="s">
        <v>371</v>
      </c>
      <c r="E165" s="181" t="s">
        <v>972</v>
      </c>
      <c r="F165" s="181" t="s">
        <v>972</v>
      </c>
    </row>
    <row r="166" spans="2:6" ht="13.2">
      <c r="B166" s="179">
        <v>250</v>
      </c>
      <c r="D166" s="181" t="s">
        <v>92</v>
      </c>
      <c r="E166" s="181" t="s">
        <v>973</v>
      </c>
      <c r="F166" s="181" t="s">
        <v>973</v>
      </c>
    </row>
    <row r="167" spans="2:6" ht="13.2">
      <c r="B167" s="179">
        <v>251</v>
      </c>
      <c r="D167" s="181" t="s">
        <v>93</v>
      </c>
      <c r="E167" s="181" t="s">
        <v>974</v>
      </c>
      <c r="F167" s="181" t="s">
        <v>974</v>
      </c>
    </row>
    <row r="168" spans="2:6" ht="13.2">
      <c r="B168" s="179">
        <v>252</v>
      </c>
      <c r="D168" s="181" t="s">
        <v>592</v>
      </c>
      <c r="E168" s="181" t="s">
        <v>975</v>
      </c>
      <c r="F168" s="181" t="s">
        <v>975</v>
      </c>
    </row>
    <row r="169" spans="2:6" ht="13.2">
      <c r="B169" s="179">
        <v>253</v>
      </c>
      <c r="D169" s="181" t="s">
        <v>661</v>
      </c>
      <c r="E169" s="181" t="s">
        <v>976</v>
      </c>
      <c r="F169" s="181" t="s">
        <v>976</v>
      </c>
    </row>
    <row r="170" spans="2:6" ht="13.2">
      <c r="B170" s="179">
        <v>254</v>
      </c>
      <c r="D170" s="181" t="s">
        <v>94</v>
      </c>
      <c r="E170" s="181" t="s">
        <v>977</v>
      </c>
      <c r="F170" s="181" t="s">
        <v>977</v>
      </c>
    </row>
    <row r="171" spans="2:6" ht="13.2">
      <c r="B171" s="179">
        <v>255</v>
      </c>
      <c r="C171" s="180" t="s">
        <v>470</v>
      </c>
      <c r="D171" s="181" t="s">
        <v>476</v>
      </c>
      <c r="E171" s="181" t="s">
        <v>978</v>
      </c>
      <c r="F171" s="181" t="s">
        <v>978</v>
      </c>
    </row>
    <row r="172" spans="2:6" ht="13.2">
      <c r="B172" s="179">
        <v>256</v>
      </c>
      <c r="D172" s="181" t="s">
        <v>95</v>
      </c>
      <c r="E172" s="181" t="s">
        <v>979</v>
      </c>
      <c r="F172" s="181" t="s">
        <v>979</v>
      </c>
    </row>
    <row r="173" spans="2:6" ht="13.2">
      <c r="B173" s="179">
        <v>257</v>
      </c>
      <c r="D173" s="181" t="s">
        <v>372</v>
      </c>
      <c r="E173" s="181" t="s">
        <v>980</v>
      </c>
      <c r="F173" s="181" t="s">
        <v>980</v>
      </c>
    </row>
    <row r="174" spans="2:6" ht="13.2">
      <c r="B174" s="179">
        <v>258</v>
      </c>
      <c r="D174" s="181" t="s">
        <v>373</v>
      </c>
      <c r="E174" s="181" t="s">
        <v>981</v>
      </c>
      <c r="F174" s="181" t="s">
        <v>981</v>
      </c>
    </row>
    <row r="175" spans="2:6" ht="13.2">
      <c r="B175" s="179">
        <v>259</v>
      </c>
      <c r="D175" s="181" t="s">
        <v>374</v>
      </c>
      <c r="E175" s="181" t="s">
        <v>982</v>
      </c>
      <c r="F175" s="181" t="s">
        <v>982</v>
      </c>
    </row>
    <row r="176" spans="2:6" ht="13.2">
      <c r="B176" s="179">
        <v>260</v>
      </c>
      <c r="D176" s="181" t="s">
        <v>522</v>
      </c>
      <c r="E176" s="181" t="s">
        <v>983</v>
      </c>
      <c r="F176" s="181" t="s">
        <v>983</v>
      </c>
    </row>
    <row r="177" spans="2:6" ht="13.2">
      <c r="B177" s="179">
        <v>261</v>
      </c>
      <c r="D177" s="181" t="s">
        <v>524</v>
      </c>
      <c r="E177" s="181" t="s">
        <v>984</v>
      </c>
      <c r="F177" s="181" t="s">
        <v>984</v>
      </c>
    </row>
    <row r="178" spans="2:6" ht="24">
      <c r="B178" s="179">
        <v>262</v>
      </c>
      <c r="D178" s="181" t="s">
        <v>525</v>
      </c>
      <c r="E178" s="181" t="s">
        <v>985</v>
      </c>
      <c r="F178" s="181" t="s">
        <v>985</v>
      </c>
    </row>
    <row r="179" spans="2:6" ht="13.2">
      <c r="B179" s="179">
        <v>263</v>
      </c>
      <c r="D179" s="181" t="s">
        <v>546</v>
      </c>
      <c r="E179" s="181" t="s">
        <v>986</v>
      </c>
      <c r="F179" s="181" t="s">
        <v>986</v>
      </c>
    </row>
    <row r="180" spans="2:6" ht="13.2">
      <c r="B180" s="179">
        <v>264</v>
      </c>
      <c r="D180" s="181" t="s">
        <v>523</v>
      </c>
      <c r="E180" s="181" t="s">
        <v>987</v>
      </c>
      <c r="F180" s="181" t="s">
        <v>987</v>
      </c>
    </row>
    <row r="181" spans="2:6" ht="13.2">
      <c r="B181" s="179">
        <v>265</v>
      </c>
      <c r="D181" s="181" t="s">
        <v>527</v>
      </c>
      <c r="E181" s="181" t="s">
        <v>988</v>
      </c>
      <c r="F181" s="181" t="s">
        <v>988</v>
      </c>
    </row>
    <row r="182" spans="2:6" ht="13.2">
      <c r="B182" s="179">
        <v>266</v>
      </c>
      <c r="D182" s="181" t="s">
        <v>521</v>
      </c>
      <c r="E182" s="181" t="s">
        <v>989</v>
      </c>
      <c r="F182" s="181" t="s">
        <v>989</v>
      </c>
    </row>
    <row r="183" spans="2:6" ht="13.2">
      <c r="B183" s="179">
        <v>267</v>
      </c>
      <c r="D183" s="181" t="s">
        <v>96</v>
      </c>
      <c r="E183" s="181" t="s">
        <v>990</v>
      </c>
      <c r="F183" s="181" t="s">
        <v>990</v>
      </c>
    </row>
    <row r="184" spans="2:6" ht="13.2">
      <c r="B184" s="179">
        <v>268</v>
      </c>
      <c r="D184" s="181" t="s">
        <v>612</v>
      </c>
      <c r="E184" s="181" t="s">
        <v>991</v>
      </c>
      <c r="F184" s="181" t="s">
        <v>991</v>
      </c>
    </row>
    <row r="185" spans="2:6" ht="13.2">
      <c r="B185" s="179">
        <v>269</v>
      </c>
      <c r="D185" s="181" t="s">
        <v>97</v>
      </c>
      <c r="E185" s="181" t="s">
        <v>992</v>
      </c>
      <c r="F185" s="181" t="s">
        <v>992</v>
      </c>
    </row>
    <row r="186" spans="2:6" ht="13.2">
      <c r="B186" s="179">
        <v>270</v>
      </c>
      <c r="D186" s="181" t="s">
        <v>375</v>
      </c>
      <c r="E186" s="181" t="s">
        <v>993</v>
      </c>
      <c r="F186" s="181" t="s">
        <v>993</v>
      </c>
    </row>
    <row r="187" spans="2:6" ht="24">
      <c r="B187" s="179">
        <v>271</v>
      </c>
      <c r="D187" s="181" t="s">
        <v>98</v>
      </c>
      <c r="E187" s="181" t="s">
        <v>994</v>
      </c>
      <c r="F187" s="181" t="s">
        <v>994</v>
      </c>
    </row>
    <row r="188" spans="2:6" ht="39.6">
      <c r="B188" s="179">
        <v>272</v>
      </c>
      <c r="D188" s="181" t="s">
        <v>99</v>
      </c>
      <c r="E188" s="181" t="s">
        <v>995</v>
      </c>
      <c r="F188" s="181" t="s">
        <v>995</v>
      </c>
    </row>
    <row r="189" spans="2:6" ht="13.2">
      <c r="B189" s="179">
        <v>273</v>
      </c>
      <c r="D189" s="181" t="s">
        <v>100</v>
      </c>
      <c r="E189" s="181" t="s">
        <v>996</v>
      </c>
      <c r="F189" s="181" t="s">
        <v>996</v>
      </c>
    </row>
    <row r="190" spans="2:6" ht="13.2">
      <c r="B190" s="179">
        <v>274</v>
      </c>
      <c r="D190" s="181" t="s">
        <v>101</v>
      </c>
      <c r="E190" s="181" t="s">
        <v>997</v>
      </c>
      <c r="F190" s="181" t="s">
        <v>997</v>
      </c>
    </row>
    <row r="191" spans="2:6" ht="13.2">
      <c r="B191" s="179">
        <v>275</v>
      </c>
      <c r="D191" s="181" t="s">
        <v>102</v>
      </c>
      <c r="E191" s="181" t="s">
        <v>998</v>
      </c>
      <c r="F191" s="181" t="s">
        <v>998</v>
      </c>
    </row>
    <row r="192" spans="2:6" ht="13.2">
      <c r="B192" s="179">
        <v>276</v>
      </c>
      <c r="D192" s="181" t="s">
        <v>103</v>
      </c>
      <c r="E192" s="181" t="s">
        <v>999</v>
      </c>
      <c r="F192" s="181" t="s">
        <v>999</v>
      </c>
    </row>
    <row r="193" spans="2:6" ht="13.2">
      <c r="B193" s="179">
        <v>277</v>
      </c>
      <c r="D193" s="181" t="s">
        <v>104</v>
      </c>
      <c r="E193" s="181" t="s">
        <v>1000</v>
      </c>
      <c r="F193" s="181" t="s">
        <v>1000</v>
      </c>
    </row>
    <row r="194" spans="2:6" ht="13.2">
      <c r="B194" s="179">
        <v>278</v>
      </c>
      <c r="D194" s="181" t="s">
        <v>105</v>
      </c>
      <c r="E194" s="181" t="s">
        <v>1001</v>
      </c>
      <c r="F194" s="181" t="s">
        <v>1001</v>
      </c>
    </row>
    <row r="195" spans="2:6" ht="13.2">
      <c r="B195" s="179">
        <v>279</v>
      </c>
      <c r="D195" s="181" t="s">
        <v>106</v>
      </c>
      <c r="E195" s="181" t="s">
        <v>1002</v>
      </c>
      <c r="F195" s="181" t="s">
        <v>1002</v>
      </c>
    </row>
    <row r="196" spans="2:6" ht="13.2">
      <c r="B196" s="179">
        <v>280</v>
      </c>
      <c r="D196" s="181" t="s">
        <v>107</v>
      </c>
      <c r="E196" s="181" t="s">
        <v>1003</v>
      </c>
      <c r="F196" s="181" t="s">
        <v>1003</v>
      </c>
    </row>
    <row r="197" spans="2:6" ht="13.2">
      <c r="B197" s="179">
        <v>281</v>
      </c>
      <c r="D197" s="181" t="s">
        <v>108</v>
      </c>
      <c r="E197" s="181" t="s">
        <v>1004</v>
      </c>
      <c r="F197" s="181" t="s">
        <v>1004</v>
      </c>
    </row>
    <row r="198" spans="2:6" ht="13.2">
      <c r="B198" s="179">
        <v>282</v>
      </c>
      <c r="D198" s="181" t="s">
        <v>109</v>
      </c>
      <c r="E198" s="181" t="s">
        <v>1005</v>
      </c>
      <c r="F198" s="181" t="s">
        <v>1005</v>
      </c>
    </row>
    <row r="199" spans="2:6" ht="13.2">
      <c r="B199" s="179">
        <v>283</v>
      </c>
      <c r="D199" s="181" t="s">
        <v>110</v>
      </c>
      <c r="E199" s="181" t="s">
        <v>1006</v>
      </c>
      <c r="F199" s="181" t="s">
        <v>1006</v>
      </c>
    </row>
    <row r="200" spans="2:6" ht="26.4">
      <c r="B200" s="179">
        <v>284</v>
      </c>
      <c r="D200" s="181" t="s">
        <v>111</v>
      </c>
      <c r="E200" s="181" t="s">
        <v>1007</v>
      </c>
      <c r="F200" s="181" t="s">
        <v>1007</v>
      </c>
    </row>
    <row r="201" spans="2:6" ht="13.2">
      <c r="B201" s="179">
        <v>285</v>
      </c>
      <c r="D201" s="181" t="s">
        <v>376</v>
      </c>
      <c r="E201" s="181" t="s">
        <v>1008</v>
      </c>
      <c r="F201" s="181" t="s">
        <v>1008</v>
      </c>
    </row>
    <row r="202" spans="2:6" ht="13.2">
      <c r="B202" s="179">
        <v>286</v>
      </c>
      <c r="D202" s="181" t="s">
        <v>112</v>
      </c>
      <c r="E202" s="181" t="s">
        <v>1009</v>
      </c>
      <c r="F202" s="181" t="s">
        <v>1009</v>
      </c>
    </row>
    <row r="203" spans="2:6" ht="13.2">
      <c r="B203" s="179">
        <v>287</v>
      </c>
      <c r="D203" s="181" t="s">
        <v>113</v>
      </c>
      <c r="E203" s="181" t="s">
        <v>1010</v>
      </c>
      <c r="F203" s="181" t="s">
        <v>1010</v>
      </c>
    </row>
    <row r="204" spans="2:6" ht="13.2">
      <c r="B204" s="179">
        <v>288</v>
      </c>
      <c r="D204" s="181" t="s">
        <v>114</v>
      </c>
      <c r="E204" s="181" t="s">
        <v>1011</v>
      </c>
      <c r="F204" s="181" t="s">
        <v>1011</v>
      </c>
    </row>
    <row r="205" spans="2:6" ht="13.2">
      <c r="B205" s="179">
        <v>289</v>
      </c>
      <c r="D205" s="181" t="s">
        <v>377</v>
      </c>
      <c r="E205" s="181" t="s">
        <v>1012</v>
      </c>
      <c r="F205" s="181" t="s">
        <v>1012</v>
      </c>
    </row>
    <row r="206" spans="2:6" ht="13.2">
      <c r="B206" s="179">
        <v>290</v>
      </c>
      <c r="D206" s="181" t="s">
        <v>378</v>
      </c>
      <c r="E206" s="181" t="s">
        <v>1013</v>
      </c>
      <c r="F206" s="181" t="s">
        <v>1013</v>
      </c>
    </row>
    <row r="207" spans="2:6" ht="13.2">
      <c r="B207" s="179">
        <v>291</v>
      </c>
      <c r="D207" s="181" t="s">
        <v>596</v>
      </c>
      <c r="E207" s="181" t="s">
        <v>1014</v>
      </c>
      <c r="F207" s="181" t="s">
        <v>1014</v>
      </c>
    </row>
    <row r="208" spans="2:6" ht="13.2">
      <c r="B208" s="179">
        <v>292</v>
      </c>
      <c r="D208" s="181" t="s">
        <v>627</v>
      </c>
      <c r="E208" s="181" t="s">
        <v>1015</v>
      </c>
      <c r="F208" s="181" t="s">
        <v>1015</v>
      </c>
    </row>
    <row r="209" spans="2:6" ht="13.2">
      <c r="B209" s="179">
        <v>293</v>
      </c>
      <c r="D209" s="181" t="s">
        <v>597</v>
      </c>
      <c r="E209" s="181" t="s">
        <v>1016</v>
      </c>
      <c r="F209" s="181" t="s">
        <v>1016</v>
      </c>
    </row>
    <row r="210" spans="2:6" ht="13.2">
      <c r="B210" s="179">
        <v>294</v>
      </c>
      <c r="D210" s="181" t="s">
        <v>595</v>
      </c>
      <c r="E210" s="181" t="s">
        <v>1017</v>
      </c>
      <c r="F210" s="181" t="s">
        <v>1017</v>
      </c>
    </row>
    <row r="211" spans="2:6" ht="13.2">
      <c r="B211" s="179">
        <v>295</v>
      </c>
      <c r="D211" s="181" t="s">
        <v>379</v>
      </c>
      <c r="E211" s="181" t="s">
        <v>1018</v>
      </c>
      <c r="F211" s="181" t="s">
        <v>1018</v>
      </c>
    </row>
    <row r="212" spans="2:6" ht="13.2">
      <c r="B212" s="179">
        <v>296</v>
      </c>
      <c r="D212" s="181" t="s">
        <v>454</v>
      </c>
      <c r="E212" s="181" t="s">
        <v>1019</v>
      </c>
      <c r="F212" s="181" t="s">
        <v>1019</v>
      </c>
    </row>
    <row r="213" spans="2:6" ht="13.2">
      <c r="B213" s="179">
        <v>297</v>
      </c>
      <c r="D213" s="181" t="s">
        <v>115</v>
      </c>
      <c r="E213" s="181" t="s">
        <v>1020</v>
      </c>
      <c r="F213" s="181" t="s">
        <v>1020</v>
      </c>
    </row>
    <row r="214" spans="2:6" ht="13.2">
      <c r="B214" s="179">
        <v>298</v>
      </c>
      <c r="C214" s="180" t="s">
        <v>547</v>
      </c>
      <c r="D214" s="181" t="s">
        <v>583</v>
      </c>
      <c r="E214" s="181" t="s">
        <v>1021</v>
      </c>
      <c r="F214" s="181" t="s">
        <v>1021</v>
      </c>
    </row>
    <row r="215" spans="2:6" ht="13.2">
      <c r="B215" s="179">
        <v>299</v>
      </c>
      <c r="D215" s="181" t="s">
        <v>604</v>
      </c>
      <c r="E215" s="181" t="s">
        <v>1022</v>
      </c>
      <c r="F215" s="181" t="s">
        <v>1022</v>
      </c>
    </row>
    <row r="216" spans="2:6" ht="13.2">
      <c r="B216" s="179">
        <v>300</v>
      </c>
      <c r="D216" s="181" t="s">
        <v>448</v>
      </c>
      <c r="E216" s="181" t="s">
        <v>1023</v>
      </c>
      <c r="F216" s="181" t="s">
        <v>1023</v>
      </c>
    </row>
    <row r="217" spans="2:6" ht="13.2">
      <c r="B217" s="179">
        <v>301</v>
      </c>
      <c r="D217" s="181" t="s">
        <v>491</v>
      </c>
      <c r="E217" s="181" t="s">
        <v>1024</v>
      </c>
      <c r="F217" s="181" t="s">
        <v>1024</v>
      </c>
    </row>
    <row r="218" spans="2:6" ht="13.2">
      <c r="B218" s="179">
        <v>302</v>
      </c>
      <c r="C218" s="180" t="s">
        <v>547</v>
      </c>
      <c r="D218" s="186" t="s">
        <v>642</v>
      </c>
      <c r="E218" s="186" t="s">
        <v>1025</v>
      </c>
      <c r="F218" s="186" t="s">
        <v>1025</v>
      </c>
    </row>
    <row r="219" spans="2:6" ht="13.2">
      <c r="B219" s="179">
        <v>303</v>
      </c>
      <c r="C219" s="180" t="s">
        <v>547</v>
      </c>
      <c r="D219" s="186" t="s">
        <v>555</v>
      </c>
      <c r="E219" s="186" t="s">
        <v>1026</v>
      </c>
      <c r="F219" s="186" t="s">
        <v>1026</v>
      </c>
    </row>
    <row r="220" spans="2:6" ht="13.2">
      <c r="B220" s="179">
        <v>304</v>
      </c>
      <c r="C220" s="180" t="s">
        <v>547</v>
      </c>
      <c r="D220" s="186" t="s">
        <v>644</v>
      </c>
      <c r="E220" s="186" t="s">
        <v>1027</v>
      </c>
      <c r="F220" s="186" t="s">
        <v>1027</v>
      </c>
    </row>
    <row r="221" spans="2:6">
      <c r="B221" s="179">
        <v>305</v>
      </c>
      <c r="C221" s="180" t="s">
        <v>547</v>
      </c>
      <c r="D221" s="186" t="s">
        <v>814</v>
      </c>
      <c r="E221" s="186" t="s">
        <v>815</v>
      </c>
      <c r="F221" s="186" t="s">
        <v>815</v>
      </c>
    </row>
    <row r="222" spans="2:6">
      <c r="B222" s="179">
        <v>306</v>
      </c>
      <c r="C222" s="180" t="s">
        <v>547</v>
      </c>
      <c r="D222" s="186" t="s">
        <v>799</v>
      </c>
      <c r="E222" s="186" t="s">
        <v>643</v>
      </c>
      <c r="F222" s="186" t="s">
        <v>643</v>
      </c>
    </row>
    <row r="223" spans="2:6">
      <c r="B223" s="179">
        <v>307</v>
      </c>
      <c r="C223" s="180" t="s">
        <v>547</v>
      </c>
      <c r="D223" s="186" t="s">
        <v>801</v>
      </c>
      <c r="E223" s="186" t="s">
        <v>638</v>
      </c>
      <c r="F223" s="186" t="s">
        <v>638</v>
      </c>
    </row>
    <row r="224" spans="2:6">
      <c r="B224" s="179">
        <v>308</v>
      </c>
      <c r="C224" s="180" t="s">
        <v>547</v>
      </c>
      <c r="D224" s="186" t="s">
        <v>802</v>
      </c>
      <c r="E224" s="186" t="s">
        <v>639</v>
      </c>
      <c r="F224" s="186" t="s">
        <v>639</v>
      </c>
    </row>
    <row r="225" spans="2:6">
      <c r="B225" s="179">
        <v>309</v>
      </c>
      <c r="C225" s="180" t="s">
        <v>547</v>
      </c>
      <c r="D225" s="186" t="s">
        <v>803</v>
      </c>
      <c r="E225" s="186" t="s">
        <v>640</v>
      </c>
      <c r="F225" s="186" t="s">
        <v>640</v>
      </c>
    </row>
    <row r="226" spans="2:6">
      <c r="B226" s="179">
        <v>310</v>
      </c>
      <c r="C226" s="180" t="s">
        <v>547</v>
      </c>
      <c r="D226" s="186" t="s">
        <v>804</v>
      </c>
      <c r="E226" s="186" t="s">
        <v>641</v>
      </c>
      <c r="F226" s="186" t="s">
        <v>641</v>
      </c>
    </row>
    <row r="227" spans="2:6">
      <c r="B227" s="179">
        <v>311</v>
      </c>
      <c r="C227" s="180" t="s">
        <v>547</v>
      </c>
      <c r="D227" s="186" t="s">
        <v>805</v>
      </c>
      <c r="E227" s="186" t="s">
        <v>645</v>
      </c>
      <c r="F227" s="186" t="s">
        <v>645</v>
      </c>
    </row>
    <row r="228" spans="2:6">
      <c r="B228" s="179">
        <v>312</v>
      </c>
      <c r="C228" s="180" t="s">
        <v>547</v>
      </c>
      <c r="D228" s="186" t="s">
        <v>806</v>
      </c>
      <c r="E228" s="186" t="s">
        <v>646</v>
      </c>
      <c r="F228" s="186" t="s">
        <v>646</v>
      </c>
    </row>
    <row r="229" spans="2:6">
      <c r="B229" s="179">
        <v>313</v>
      </c>
      <c r="C229" s="180" t="s">
        <v>547</v>
      </c>
      <c r="D229" s="186" t="s">
        <v>807</v>
      </c>
      <c r="E229" s="186" t="s">
        <v>647</v>
      </c>
      <c r="F229" s="186" t="s">
        <v>647</v>
      </c>
    </row>
    <row r="230" spans="2:6">
      <c r="B230" s="179">
        <v>314</v>
      </c>
      <c r="C230" s="180" t="s">
        <v>547</v>
      </c>
      <c r="D230" s="186" t="s">
        <v>808</v>
      </c>
      <c r="E230" s="186" t="s">
        <v>648</v>
      </c>
      <c r="F230" s="186" t="s">
        <v>648</v>
      </c>
    </row>
    <row r="231" spans="2:6">
      <c r="B231" s="179">
        <v>315</v>
      </c>
      <c r="C231" s="180" t="s">
        <v>547</v>
      </c>
      <c r="D231" s="186" t="s">
        <v>809</v>
      </c>
      <c r="E231" s="181" t="s">
        <v>548</v>
      </c>
      <c r="F231" s="181" t="s">
        <v>548</v>
      </c>
    </row>
    <row r="232" spans="2:6">
      <c r="B232" s="179">
        <v>316</v>
      </c>
      <c r="C232" s="180" t="s">
        <v>547</v>
      </c>
      <c r="D232" s="186" t="s">
        <v>810</v>
      </c>
      <c r="E232" s="181" t="s">
        <v>549</v>
      </c>
      <c r="F232" s="181" t="s">
        <v>549</v>
      </c>
    </row>
    <row r="233" spans="2:6">
      <c r="B233" s="179">
        <v>317</v>
      </c>
      <c r="C233" s="180" t="s">
        <v>547</v>
      </c>
      <c r="D233" s="186" t="s">
        <v>811</v>
      </c>
      <c r="E233" s="181" t="s">
        <v>550</v>
      </c>
      <c r="F233" s="181" t="s">
        <v>550</v>
      </c>
    </row>
    <row r="234" spans="2:6">
      <c r="B234" s="179">
        <v>318</v>
      </c>
      <c r="C234" s="180" t="s">
        <v>547</v>
      </c>
      <c r="D234" s="186" t="s">
        <v>812</v>
      </c>
      <c r="E234" s="181" t="s">
        <v>551</v>
      </c>
      <c r="F234" s="181" t="s">
        <v>551</v>
      </c>
    </row>
    <row r="235" spans="2:6">
      <c r="B235" s="179">
        <v>319</v>
      </c>
      <c r="C235" s="180" t="s">
        <v>547</v>
      </c>
      <c r="D235" s="186" t="s">
        <v>813</v>
      </c>
      <c r="E235" s="186" t="s">
        <v>585</v>
      </c>
      <c r="F235" s="186" t="s">
        <v>585</v>
      </c>
    </row>
    <row r="236" spans="2:6">
      <c r="B236" s="179">
        <v>320</v>
      </c>
      <c r="C236" s="180" t="s">
        <v>547</v>
      </c>
      <c r="D236" s="186" t="s">
        <v>1369</v>
      </c>
      <c r="E236" s="186" t="s">
        <v>1371</v>
      </c>
      <c r="F236" s="186" t="s">
        <v>1371</v>
      </c>
    </row>
    <row r="237" spans="2:6">
      <c r="B237" s="179">
        <v>321</v>
      </c>
      <c r="C237" s="180" t="s">
        <v>547</v>
      </c>
      <c r="D237" s="186" t="s">
        <v>1370</v>
      </c>
      <c r="E237" s="186" t="s">
        <v>1372</v>
      </c>
      <c r="F237" s="186" t="s">
        <v>1372</v>
      </c>
    </row>
    <row r="238" spans="2:6">
      <c r="B238" s="179">
        <v>322</v>
      </c>
      <c r="C238" s="180" t="s">
        <v>547</v>
      </c>
      <c r="D238" s="186"/>
      <c r="E238" s="186"/>
      <c r="F238" s="186"/>
    </row>
    <row r="239" spans="2:6" ht="26.4">
      <c r="B239" s="179">
        <v>323</v>
      </c>
      <c r="D239" s="181" t="s">
        <v>116</v>
      </c>
      <c r="E239" s="181" t="s">
        <v>1028</v>
      </c>
      <c r="F239" s="181" t="s">
        <v>1028</v>
      </c>
    </row>
    <row r="240" spans="2:6" ht="26.4">
      <c r="B240" s="179">
        <v>324</v>
      </c>
      <c r="D240" s="181" t="s">
        <v>117</v>
      </c>
      <c r="E240" s="181" t="s">
        <v>1029</v>
      </c>
      <c r="F240" s="181" t="s">
        <v>1029</v>
      </c>
    </row>
    <row r="241" spans="2:6" ht="26.4">
      <c r="B241" s="179">
        <v>325</v>
      </c>
      <c r="D241" s="181" t="s">
        <v>118</v>
      </c>
      <c r="E241" s="181" t="s">
        <v>1030</v>
      </c>
      <c r="F241" s="181" t="s">
        <v>1030</v>
      </c>
    </row>
    <row r="242" spans="2:6" ht="24">
      <c r="B242" s="179">
        <v>326</v>
      </c>
      <c r="C242" s="180" t="s">
        <v>547</v>
      </c>
      <c r="D242" s="181" t="s">
        <v>584</v>
      </c>
      <c r="E242" s="181" t="s">
        <v>1031</v>
      </c>
      <c r="F242" s="181" t="s">
        <v>1031</v>
      </c>
    </row>
    <row r="243" spans="2:6" ht="13.2">
      <c r="B243" s="179">
        <v>327</v>
      </c>
      <c r="D243" s="181" t="s">
        <v>119</v>
      </c>
      <c r="E243" s="181" t="s">
        <v>1032</v>
      </c>
      <c r="F243" s="181" t="s">
        <v>1032</v>
      </c>
    </row>
    <row r="244" spans="2:6" ht="13.2">
      <c r="B244" s="179">
        <v>328</v>
      </c>
      <c r="C244" s="180" t="s">
        <v>470</v>
      </c>
      <c r="D244" s="181" t="s">
        <v>480</v>
      </c>
      <c r="E244" s="181" t="s">
        <v>1033</v>
      </c>
      <c r="F244" s="181" t="s">
        <v>1033</v>
      </c>
    </row>
    <row r="245" spans="2:6" ht="13.2">
      <c r="B245" s="179">
        <v>329</v>
      </c>
      <c r="D245" s="181" t="s">
        <v>120</v>
      </c>
      <c r="E245" s="181" t="s">
        <v>1034</v>
      </c>
      <c r="F245" s="181" t="s">
        <v>1034</v>
      </c>
    </row>
    <row r="246" spans="2:6" ht="13.2">
      <c r="B246" s="179">
        <v>330</v>
      </c>
      <c r="D246" s="181" t="s">
        <v>121</v>
      </c>
      <c r="E246" s="181" t="s">
        <v>1035</v>
      </c>
      <c r="F246" s="181" t="s">
        <v>1035</v>
      </c>
    </row>
    <row r="247" spans="2:6" ht="13.2">
      <c r="B247" s="179">
        <v>331</v>
      </c>
      <c r="D247" s="181" t="s">
        <v>122</v>
      </c>
      <c r="E247" s="181" t="s">
        <v>1036</v>
      </c>
      <c r="F247" s="181" t="s">
        <v>1036</v>
      </c>
    </row>
    <row r="248" spans="2:6" ht="13.2">
      <c r="B248" s="179">
        <v>332</v>
      </c>
      <c r="C248" s="180" t="s">
        <v>470</v>
      </c>
      <c r="D248" s="178" t="s">
        <v>472</v>
      </c>
      <c r="E248" s="186" t="s">
        <v>1037</v>
      </c>
      <c r="F248" s="186" t="s">
        <v>1037</v>
      </c>
    </row>
    <row r="249" spans="2:6" ht="13.2">
      <c r="B249" s="179">
        <v>333</v>
      </c>
      <c r="C249" s="180" t="s">
        <v>470</v>
      </c>
      <c r="D249" s="178" t="s">
        <v>473</v>
      </c>
      <c r="E249" s="186" t="s">
        <v>1038</v>
      </c>
      <c r="F249" s="186" t="s">
        <v>1038</v>
      </c>
    </row>
    <row r="250" spans="2:6" ht="13.2">
      <c r="B250" s="179">
        <v>334</v>
      </c>
      <c r="D250" s="181" t="s">
        <v>123</v>
      </c>
      <c r="E250" s="181" t="s">
        <v>1039</v>
      </c>
      <c r="F250" s="181" t="s">
        <v>1039</v>
      </c>
    </row>
    <row r="251" spans="2:6" ht="13.2">
      <c r="B251" s="179">
        <v>335</v>
      </c>
      <c r="C251" s="180" t="s">
        <v>470</v>
      </c>
      <c r="D251" s="181" t="s">
        <v>478</v>
      </c>
      <c r="E251" s="181" t="s">
        <v>1040</v>
      </c>
      <c r="F251" s="181" t="s">
        <v>1040</v>
      </c>
    </row>
    <row r="252" spans="2:6" ht="13.2">
      <c r="B252" s="179">
        <v>336</v>
      </c>
      <c r="C252" s="180" t="s">
        <v>470</v>
      </c>
      <c r="D252" s="178" t="s">
        <v>481</v>
      </c>
      <c r="E252" s="186" t="s">
        <v>1041</v>
      </c>
      <c r="F252" s="186" t="s">
        <v>1041</v>
      </c>
    </row>
    <row r="253" spans="2:6" ht="26.4">
      <c r="B253" s="179">
        <v>337</v>
      </c>
      <c r="D253" s="181" t="s">
        <v>124</v>
      </c>
      <c r="E253" s="181" t="s">
        <v>1042</v>
      </c>
      <c r="F253" s="181" t="s">
        <v>1042</v>
      </c>
    </row>
    <row r="254" spans="2:6" ht="26.4">
      <c r="B254" s="179">
        <v>338</v>
      </c>
      <c r="D254" s="181" t="s">
        <v>125</v>
      </c>
      <c r="E254" s="181" t="s">
        <v>1043</v>
      </c>
      <c r="F254" s="181" t="s">
        <v>1043</v>
      </c>
    </row>
    <row r="255" spans="2:6" ht="13.2">
      <c r="B255" s="179">
        <v>339</v>
      </c>
      <c r="D255" s="181" t="s">
        <v>126</v>
      </c>
      <c r="E255" s="181" t="s">
        <v>1044</v>
      </c>
      <c r="F255" s="181" t="s">
        <v>1044</v>
      </c>
    </row>
    <row r="256" spans="2:6" ht="13.2">
      <c r="B256" s="179">
        <v>340</v>
      </c>
      <c r="D256" s="181" t="s">
        <v>127</v>
      </c>
      <c r="E256" s="181" t="s">
        <v>1045</v>
      </c>
      <c r="F256" s="181" t="s">
        <v>1045</v>
      </c>
    </row>
    <row r="257" spans="2:6" ht="13.2">
      <c r="B257" s="179">
        <v>341</v>
      </c>
      <c r="D257" s="181" t="s">
        <v>128</v>
      </c>
      <c r="E257" s="181" t="s">
        <v>1046</v>
      </c>
      <c r="F257" s="181" t="s">
        <v>1046</v>
      </c>
    </row>
    <row r="258" spans="2:6" ht="13.2">
      <c r="B258" s="179">
        <v>342</v>
      </c>
      <c r="D258" s="181" t="s">
        <v>129</v>
      </c>
      <c r="E258" s="181" t="s">
        <v>1047</v>
      </c>
      <c r="F258" s="181" t="s">
        <v>1047</v>
      </c>
    </row>
    <row r="259" spans="2:6" ht="13.2">
      <c r="B259" s="179">
        <v>343</v>
      </c>
      <c r="C259" s="180" t="s">
        <v>547</v>
      </c>
      <c r="D259" s="181" t="s">
        <v>569</v>
      </c>
      <c r="E259" s="181" t="s">
        <v>1048</v>
      </c>
      <c r="F259" s="181" t="s">
        <v>1048</v>
      </c>
    </row>
    <row r="260" spans="2:6" ht="13.2">
      <c r="B260" s="179">
        <v>344</v>
      </c>
      <c r="C260" s="180" t="s">
        <v>547</v>
      </c>
      <c r="D260" s="181" t="s">
        <v>571</v>
      </c>
      <c r="E260" s="181" t="s">
        <v>1049</v>
      </c>
      <c r="F260" s="181" t="s">
        <v>1049</v>
      </c>
    </row>
    <row r="261" spans="2:6" ht="13.2">
      <c r="B261" s="179">
        <v>345</v>
      </c>
      <c r="D261" s="181" t="s">
        <v>130</v>
      </c>
      <c r="E261" s="181" t="s">
        <v>1050</v>
      </c>
      <c r="F261" s="181" t="s">
        <v>1050</v>
      </c>
    </row>
    <row r="262" spans="2:6" ht="26.4">
      <c r="B262" s="179">
        <v>346</v>
      </c>
      <c r="C262" s="180" t="s">
        <v>547</v>
      </c>
      <c r="D262" s="181" t="s">
        <v>579</v>
      </c>
      <c r="E262" s="181" t="s">
        <v>1051</v>
      </c>
      <c r="F262" s="181" t="s">
        <v>1051</v>
      </c>
    </row>
    <row r="263" spans="2:6" ht="13.2">
      <c r="B263" s="179">
        <v>347</v>
      </c>
      <c r="D263" s="181" t="s">
        <v>380</v>
      </c>
      <c r="E263" s="181" t="s">
        <v>1052</v>
      </c>
      <c r="F263" s="181" t="s">
        <v>1052</v>
      </c>
    </row>
    <row r="264" spans="2:6" ht="13.2">
      <c r="B264" s="179">
        <v>348</v>
      </c>
      <c r="D264" s="181" t="s">
        <v>131</v>
      </c>
      <c r="E264" s="181" t="s">
        <v>1053</v>
      </c>
      <c r="F264" s="181" t="s">
        <v>1053</v>
      </c>
    </row>
    <row r="265" spans="2:6" ht="13.2">
      <c r="B265" s="179">
        <v>349</v>
      </c>
      <c r="D265" s="181" t="s">
        <v>381</v>
      </c>
      <c r="E265" s="181" t="s">
        <v>1054</v>
      </c>
      <c r="F265" s="181" t="s">
        <v>1054</v>
      </c>
    </row>
    <row r="266" spans="2:6" ht="13.2">
      <c r="B266" s="179">
        <v>350</v>
      </c>
      <c r="C266" s="180" t="s">
        <v>547</v>
      </c>
      <c r="D266" s="181" t="s">
        <v>570</v>
      </c>
      <c r="E266" s="181" t="s">
        <v>1055</v>
      </c>
      <c r="F266" s="181" t="s">
        <v>1055</v>
      </c>
    </row>
    <row r="267" spans="2:6" ht="13.2">
      <c r="B267" s="179">
        <v>351</v>
      </c>
      <c r="C267" s="180" t="s">
        <v>470</v>
      </c>
      <c r="D267" s="178" t="s">
        <v>471</v>
      </c>
      <c r="E267" s="186" t="s">
        <v>1056</v>
      </c>
      <c r="F267" s="186" t="s">
        <v>1056</v>
      </c>
    </row>
    <row r="268" spans="2:6" ht="24">
      <c r="B268" s="179">
        <v>352</v>
      </c>
      <c r="C268" s="180" t="s">
        <v>547</v>
      </c>
      <c r="D268" s="181" t="s">
        <v>562</v>
      </c>
      <c r="E268" s="181" t="s">
        <v>1057</v>
      </c>
      <c r="F268" s="181" t="s">
        <v>1057</v>
      </c>
    </row>
    <row r="269" spans="2:6" ht="24">
      <c r="B269" s="179">
        <v>353</v>
      </c>
      <c r="D269" s="181" t="s">
        <v>132</v>
      </c>
      <c r="F269" s="181"/>
    </row>
    <row r="270" spans="2:6" ht="13.2">
      <c r="B270" s="179">
        <v>354</v>
      </c>
      <c r="D270" s="181" t="s">
        <v>133</v>
      </c>
      <c r="E270" s="181" t="s">
        <v>1058</v>
      </c>
      <c r="F270" s="181" t="s">
        <v>1058</v>
      </c>
    </row>
    <row r="271" spans="2:6" ht="13.2">
      <c r="B271" s="179">
        <v>355</v>
      </c>
      <c r="D271" s="181" t="s">
        <v>134</v>
      </c>
      <c r="E271" s="181" t="s">
        <v>1059</v>
      </c>
      <c r="F271" s="181" t="s">
        <v>1059</v>
      </c>
    </row>
    <row r="272" spans="2:6" ht="13.2">
      <c r="B272" s="179">
        <v>356</v>
      </c>
      <c r="D272" s="181" t="s">
        <v>135</v>
      </c>
      <c r="E272" s="181" t="s">
        <v>1060</v>
      </c>
      <c r="F272" s="181" t="s">
        <v>1060</v>
      </c>
    </row>
    <row r="273" spans="2:6" ht="13.2">
      <c r="B273" s="179">
        <v>357</v>
      </c>
      <c r="C273" s="180" t="s">
        <v>547</v>
      </c>
      <c r="D273" s="181" t="s">
        <v>565</v>
      </c>
      <c r="E273" s="181" t="s">
        <v>1061</v>
      </c>
      <c r="F273" s="181" t="s">
        <v>1061</v>
      </c>
    </row>
    <row r="274" spans="2:6" ht="13.2">
      <c r="B274" s="179">
        <v>358</v>
      </c>
      <c r="D274" s="181" t="s">
        <v>136</v>
      </c>
      <c r="E274" s="181" t="s">
        <v>1062</v>
      </c>
      <c r="F274" s="181" t="s">
        <v>1062</v>
      </c>
    </row>
    <row r="275" spans="2:6" ht="13.2">
      <c r="B275" s="179">
        <v>359</v>
      </c>
      <c r="D275" s="181" t="s">
        <v>382</v>
      </c>
      <c r="E275" s="181" t="s">
        <v>1063</v>
      </c>
      <c r="F275" s="181" t="s">
        <v>1063</v>
      </c>
    </row>
    <row r="276" spans="2:6" ht="13.2">
      <c r="B276" s="179">
        <v>360</v>
      </c>
      <c r="D276" s="181" t="s">
        <v>137</v>
      </c>
      <c r="E276" s="181" t="s">
        <v>1064</v>
      </c>
      <c r="F276" s="181" t="s">
        <v>1064</v>
      </c>
    </row>
    <row r="277" spans="2:6" ht="26.4">
      <c r="B277" s="179">
        <v>361</v>
      </c>
      <c r="C277" s="180" t="s">
        <v>547</v>
      </c>
      <c r="D277" s="181" t="s">
        <v>561</v>
      </c>
      <c r="E277" s="181" t="s">
        <v>1065</v>
      </c>
      <c r="F277" s="181" t="s">
        <v>1065</v>
      </c>
    </row>
    <row r="278" spans="2:6" ht="39.6">
      <c r="B278" s="179">
        <v>362</v>
      </c>
      <c r="C278" s="180" t="s">
        <v>547</v>
      </c>
      <c r="D278" s="181" t="s">
        <v>576</v>
      </c>
      <c r="E278" s="181" t="s">
        <v>1066</v>
      </c>
      <c r="F278" s="181" t="s">
        <v>1066</v>
      </c>
    </row>
    <row r="279" spans="2:6" ht="13.2">
      <c r="B279" s="179">
        <v>363</v>
      </c>
      <c r="D279" s="181" t="s">
        <v>138</v>
      </c>
      <c r="E279" s="181" t="s">
        <v>1067</v>
      </c>
      <c r="F279" s="181" t="s">
        <v>1067</v>
      </c>
    </row>
    <row r="280" spans="2:6">
      <c r="B280" s="179">
        <v>364</v>
      </c>
      <c r="D280" s="181" t="s">
        <v>1</v>
      </c>
      <c r="E280" s="181" t="s">
        <v>1</v>
      </c>
      <c r="F280" s="181" t="s">
        <v>1</v>
      </c>
    </row>
    <row r="281" spans="2:6">
      <c r="B281" s="179">
        <v>365</v>
      </c>
      <c r="D281" s="181" t="s">
        <v>2</v>
      </c>
      <c r="E281" s="181" t="s">
        <v>2</v>
      </c>
      <c r="F281" s="181" t="s">
        <v>2</v>
      </c>
    </row>
    <row r="282" spans="2:6" ht="13.2">
      <c r="B282" s="179">
        <v>366</v>
      </c>
      <c r="D282" s="181" t="s">
        <v>455</v>
      </c>
      <c r="E282" s="181" t="s">
        <v>1068</v>
      </c>
      <c r="F282" s="181" t="s">
        <v>1068</v>
      </c>
    </row>
    <row r="283" spans="2:6">
      <c r="B283" s="179">
        <v>367</v>
      </c>
      <c r="D283" s="181" t="s">
        <v>139</v>
      </c>
      <c r="E283" s="181" t="s">
        <v>140</v>
      </c>
      <c r="F283" s="181" t="s">
        <v>140</v>
      </c>
    </row>
    <row r="284" spans="2:6" ht="13.2">
      <c r="B284" s="179">
        <v>368</v>
      </c>
      <c r="D284" s="181" t="s">
        <v>613</v>
      </c>
      <c r="E284" s="181" t="s">
        <v>1069</v>
      </c>
      <c r="F284" s="181" t="s">
        <v>1069</v>
      </c>
    </row>
    <row r="285" spans="2:6">
      <c r="B285" s="179">
        <v>369</v>
      </c>
      <c r="D285" s="181" t="s">
        <v>141</v>
      </c>
      <c r="E285" s="181" t="s">
        <v>439</v>
      </c>
      <c r="F285" s="181" t="s">
        <v>439</v>
      </c>
    </row>
    <row r="286" spans="2:6" ht="13.2">
      <c r="B286" s="179">
        <v>370</v>
      </c>
      <c r="D286" s="181" t="s">
        <v>142</v>
      </c>
      <c r="E286" s="181" t="s">
        <v>1070</v>
      </c>
      <c r="F286" s="181" t="s">
        <v>1070</v>
      </c>
    </row>
    <row r="287" spans="2:6" ht="13.2">
      <c r="B287" s="179">
        <v>371</v>
      </c>
      <c r="D287" s="181" t="s">
        <v>143</v>
      </c>
      <c r="E287" s="181" t="s">
        <v>1071</v>
      </c>
      <c r="F287" s="181" t="s">
        <v>1071</v>
      </c>
    </row>
    <row r="288" spans="2:6" ht="13.2">
      <c r="B288" s="179">
        <v>372</v>
      </c>
      <c r="D288" s="181" t="s">
        <v>383</v>
      </c>
      <c r="E288" s="181" t="s">
        <v>1072</v>
      </c>
      <c r="F288" s="181" t="s">
        <v>1072</v>
      </c>
    </row>
    <row r="289" spans="2:6" ht="13.2">
      <c r="B289" s="179">
        <v>373</v>
      </c>
      <c r="D289" s="181" t="s">
        <v>384</v>
      </c>
      <c r="E289" s="181" t="s">
        <v>1073</v>
      </c>
      <c r="F289" s="181" t="s">
        <v>1073</v>
      </c>
    </row>
    <row r="290" spans="2:6" ht="13.2">
      <c r="B290" s="179">
        <v>374</v>
      </c>
      <c r="D290" s="181" t="s">
        <v>385</v>
      </c>
      <c r="E290" s="181" t="s">
        <v>1072</v>
      </c>
      <c r="F290" s="181" t="s">
        <v>1072</v>
      </c>
    </row>
    <row r="291" spans="2:6" ht="13.2">
      <c r="B291" s="179">
        <v>375</v>
      </c>
      <c r="C291" s="180" t="s">
        <v>547</v>
      </c>
      <c r="D291" s="181" t="s">
        <v>553</v>
      </c>
      <c r="E291" s="181" t="s">
        <v>1074</v>
      </c>
      <c r="F291" s="181" t="s">
        <v>1074</v>
      </c>
    </row>
    <row r="292" spans="2:6" ht="13.2">
      <c r="B292" s="179">
        <v>376</v>
      </c>
      <c r="D292" s="181" t="s">
        <v>144</v>
      </c>
      <c r="E292" s="181" t="s">
        <v>1075</v>
      </c>
      <c r="F292" s="181" t="s">
        <v>1075</v>
      </c>
    </row>
    <row r="293" spans="2:6" ht="13.2">
      <c r="B293" s="179">
        <v>377</v>
      </c>
      <c r="D293" s="181" t="s">
        <v>386</v>
      </c>
      <c r="E293" s="181" t="s">
        <v>1076</v>
      </c>
      <c r="F293" s="181" t="s">
        <v>1076</v>
      </c>
    </row>
    <row r="294" spans="2:6" ht="13.2">
      <c r="B294" s="179">
        <v>378</v>
      </c>
      <c r="D294" s="181" t="s">
        <v>145</v>
      </c>
      <c r="E294" s="181" t="s">
        <v>1077</v>
      </c>
      <c r="F294" s="181" t="s">
        <v>1077</v>
      </c>
    </row>
    <row r="295" spans="2:6" ht="13.2">
      <c r="B295" s="179">
        <v>379</v>
      </c>
      <c r="C295" s="180" t="s">
        <v>470</v>
      </c>
      <c r="D295" s="178" t="s">
        <v>482</v>
      </c>
      <c r="E295" s="186" t="s">
        <v>1078</v>
      </c>
      <c r="F295" s="186" t="s">
        <v>1078</v>
      </c>
    </row>
    <row r="296" spans="2:6" ht="13.2">
      <c r="B296" s="179">
        <v>380</v>
      </c>
      <c r="D296" s="181" t="s">
        <v>415</v>
      </c>
      <c r="E296" s="181" t="s">
        <v>1079</v>
      </c>
      <c r="F296" s="181" t="s">
        <v>1079</v>
      </c>
    </row>
    <row r="297" spans="2:6" ht="13.2">
      <c r="B297" s="179">
        <v>381</v>
      </c>
      <c r="D297" s="181" t="s">
        <v>416</v>
      </c>
      <c r="E297" s="181" t="s">
        <v>1080</v>
      </c>
      <c r="F297" s="181" t="s">
        <v>1080</v>
      </c>
    </row>
    <row r="298" spans="2:6" ht="13.2">
      <c r="B298" s="179">
        <v>382</v>
      </c>
      <c r="C298" s="180" t="s">
        <v>488</v>
      </c>
      <c r="D298" s="181" t="s">
        <v>489</v>
      </c>
      <c r="E298" s="181" t="s">
        <v>1081</v>
      </c>
      <c r="F298" s="181" t="s">
        <v>1081</v>
      </c>
    </row>
    <row r="299" spans="2:6" ht="13.2">
      <c r="B299" s="179">
        <v>383</v>
      </c>
      <c r="D299" s="181" t="s">
        <v>146</v>
      </c>
      <c r="E299" s="181" t="s">
        <v>1082</v>
      </c>
      <c r="F299" s="181" t="s">
        <v>1082</v>
      </c>
    </row>
    <row r="300" spans="2:6" ht="13.2">
      <c r="B300" s="179">
        <v>384</v>
      </c>
      <c r="D300" s="181" t="s">
        <v>387</v>
      </c>
      <c r="E300" s="181" t="s">
        <v>1083</v>
      </c>
      <c r="F300" s="181" t="s">
        <v>1083</v>
      </c>
    </row>
    <row r="301" spans="2:6" ht="13.2">
      <c r="B301" s="179">
        <v>385</v>
      </c>
      <c r="D301" s="181" t="s">
        <v>147</v>
      </c>
      <c r="E301" s="181" t="s">
        <v>1084</v>
      </c>
      <c r="F301" s="181" t="s">
        <v>1084</v>
      </c>
    </row>
    <row r="302" spans="2:6" ht="13.2">
      <c r="B302" s="179">
        <v>386</v>
      </c>
      <c r="D302" s="181" t="s">
        <v>148</v>
      </c>
      <c r="E302" s="181" t="s">
        <v>1085</v>
      </c>
      <c r="F302" s="181" t="s">
        <v>1085</v>
      </c>
    </row>
    <row r="303" spans="2:6" ht="13.2">
      <c r="B303" s="179">
        <v>387</v>
      </c>
      <c r="D303" s="181" t="s">
        <v>149</v>
      </c>
      <c r="E303" s="181" t="s">
        <v>1086</v>
      </c>
      <c r="F303" s="181" t="s">
        <v>1086</v>
      </c>
    </row>
    <row r="304" spans="2:6" ht="13.2">
      <c r="B304" s="179">
        <v>388</v>
      </c>
      <c r="D304" s="181" t="s">
        <v>477</v>
      </c>
      <c r="E304" s="181" t="s">
        <v>1087</v>
      </c>
      <c r="F304" s="181" t="s">
        <v>1087</v>
      </c>
    </row>
    <row r="305" spans="2:6" ht="24">
      <c r="B305" s="179">
        <v>389</v>
      </c>
      <c r="D305" s="181" t="s">
        <v>150</v>
      </c>
      <c r="E305" s="181" t="s">
        <v>1088</v>
      </c>
      <c r="F305" s="181" t="s">
        <v>1088</v>
      </c>
    </row>
    <row r="306" spans="2:6" ht="13.2">
      <c r="B306" s="179">
        <v>390</v>
      </c>
      <c r="D306" s="181" t="s">
        <v>624</v>
      </c>
      <c r="E306" s="181" t="s">
        <v>1089</v>
      </c>
      <c r="F306" s="181" t="s">
        <v>1089</v>
      </c>
    </row>
    <row r="307" spans="2:6" ht="26.4">
      <c r="B307" s="179">
        <v>391</v>
      </c>
      <c r="D307" s="181" t="s">
        <v>417</v>
      </c>
      <c r="E307" s="181" t="s">
        <v>1090</v>
      </c>
      <c r="F307" s="181" t="s">
        <v>1090</v>
      </c>
    </row>
    <row r="308" spans="2:6" ht="13.2">
      <c r="B308" s="179">
        <v>392</v>
      </c>
      <c r="D308" s="181" t="s">
        <v>418</v>
      </c>
      <c r="E308" s="181" t="s">
        <v>1091</v>
      </c>
      <c r="F308" s="181" t="s">
        <v>1091</v>
      </c>
    </row>
    <row r="309" spans="2:6" ht="13.2">
      <c r="B309" s="179">
        <v>393</v>
      </c>
      <c r="D309" s="181" t="s">
        <v>388</v>
      </c>
      <c r="E309" s="181" t="s">
        <v>1092</v>
      </c>
      <c r="F309" s="181" t="s">
        <v>1092</v>
      </c>
    </row>
    <row r="310" spans="2:6" ht="13.2">
      <c r="B310" s="179">
        <v>394</v>
      </c>
      <c r="D310" s="181" t="s">
        <v>151</v>
      </c>
      <c r="E310" s="181" t="s">
        <v>1093</v>
      </c>
      <c r="F310" s="181" t="s">
        <v>1093</v>
      </c>
    </row>
    <row r="311" spans="2:6" ht="13.2">
      <c r="B311" s="179">
        <v>395</v>
      </c>
      <c r="D311" s="181" t="s">
        <v>389</v>
      </c>
      <c r="E311" s="181" t="s">
        <v>1094</v>
      </c>
      <c r="F311" s="181" t="s">
        <v>1094</v>
      </c>
    </row>
    <row r="312" spans="2:6" ht="13.2">
      <c r="B312" s="179">
        <v>396</v>
      </c>
      <c r="D312" s="181" t="s">
        <v>390</v>
      </c>
      <c r="E312" s="181" t="s">
        <v>1095</v>
      </c>
      <c r="F312" s="181" t="s">
        <v>1095</v>
      </c>
    </row>
    <row r="313" spans="2:6" ht="13.2">
      <c r="B313" s="179">
        <v>397</v>
      </c>
      <c r="D313" s="181" t="s">
        <v>152</v>
      </c>
      <c r="E313" s="181" t="s">
        <v>1096</v>
      </c>
      <c r="F313" s="181" t="s">
        <v>1096</v>
      </c>
    </row>
    <row r="314" spans="2:6" ht="13.2">
      <c r="B314" s="179">
        <v>398</v>
      </c>
      <c r="D314" s="181" t="s">
        <v>153</v>
      </c>
      <c r="E314" s="181" t="s">
        <v>1097</v>
      </c>
      <c r="F314" s="181" t="s">
        <v>1097</v>
      </c>
    </row>
    <row r="315" spans="2:6" ht="13.2">
      <c r="B315" s="179">
        <v>399</v>
      </c>
      <c r="D315" s="181" t="s">
        <v>391</v>
      </c>
      <c r="E315" s="181" t="s">
        <v>1098</v>
      </c>
      <c r="F315" s="181" t="s">
        <v>1098</v>
      </c>
    </row>
    <row r="316" spans="2:6" ht="13.2">
      <c r="B316" s="179">
        <v>400</v>
      </c>
      <c r="D316" s="181" t="s">
        <v>154</v>
      </c>
      <c r="E316" s="181" t="s">
        <v>1099</v>
      </c>
      <c r="F316" s="181" t="s">
        <v>1099</v>
      </c>
    </row>
    <row r="317" spans="2:6" ht="13.2">
      <c r="B317" s="179">
        <v>401</v>
      </c>
      <c r="C317" s="180" t="s">
        <v>432</v>
      </c>
      <c r="D317" s="181" t="s">
        <v>440</v>
      </c>
      <c r="E317" s="181" t="s">
        <v>1100</v>
      </c>
      <c r="F317" s="181" t="s">
        <v>1100</v>
      </c>
    </row>
    <row r="318" spans="2:6" ht="13.2">
      <c r="B318" s="179">
        <v>402</v>
      </c>
      <c r="C318" s="180" t="s">
        <v>470</v>
      </c>
      <c r="D318" s="178" t="s">
        <v>469</v>
      </c>
      <c r="E318" s="186" t="s">
        <v>1101</v>
      </c>
      <c r="F318" s="186" t="s">
        <v>1101</v>
      </c>
    </row>
    <row r="319" spans="2:6" ht="13.2">
      <c r="B319" s="179">
        <v>403</v>
      </c>
      <c r="D319" s="181" t="s">
        <v>155</v>
      </c>
      <c r="E319" s="181" t="s">
        <v>1102</v>
      </c>
      <c r="F319" s="181" t="s">
        <v>1102</v>
      </c>
    </row>
    <row r="320" spans="2:6" ht="13.2">
      <c r="B320" s="179">
        <v>404</v>
      </c>
      <c r="D320" s="181" t="s">
        <v>156</v>
      </c>
      <c r="E320" s="181" t="s">
        <v>1103</v>
      </c>
      <c r="F320" s="181" t="s">
        <v>1103</v>
      </c>
    </row>
    <row r="321" spans="1:6" ht="13.2">
      <c r="B321" s="179">
        <v>405</v>
      </c>
      <c r="D321" s="181" t="s">
        <v>157</v>
      </c>
      <c r="E321" s="181" t="s">
        <v>1104</v>
      </c>
      <c r="F321" s="181" t="s">
        <v>1104</v>
      </c>
    </row>
    <row r="322" spans="1:6" ht="13.2">
      <c r="B322" s="179">
        <v>406</v>
      </c>
      <c r="D322" s="181" t="s">
        <v>158</v>
      </c>
      <c r="E322" s="181" t="s">
        <v>1105</v>
      </c>
      <c r="F322" s="181" t="s">
        <v>1105</v>
      </c>
    </row>
    <row r="323" spans="1:6" ht="13.2">
      <c r="B323" s="179">
        <v>407</v>
      </c>
      <c r="C323" s="180" t="s">
        <v>470</v>
      </c>
      <c r="D323" s="178" t="s">
        <v>466</v>
      </c>
      <c r="E323" s="186" t="s">
        <v>1106</v>
      </c>
      <c r="F323" s="186" t="s">
        <v>1106</v>
      </c>
    </row>
    <row r="324" spans="1:6" ht="13.2">
      <c r="B324" s="179">
        <v>408</v>
      </c>
      <c r="D324" s="181" t="s">
        <v>159</v>
      </c>
      <c r="E324" s="181" t="s">
        <v>1107</v>
      </c>
      <c r="F324" s="181" t="s">
        <v>1107</v>
      </c>
    </row>
    <row r="325" spans="1:6" ht="13.2">
      <c r="B325" s="179">
        <v>409</v>
      </c>
      <c r="C325" s="180" t="s">
        <v>470</v>
      </c>
      <c r="D325" s="181" t="s">
        <v>464</v>
      </c>
      <c r="E325" s="186" t="s">
        <v>1108</v>
      </c>
      <c r="F325" s="186" t="s">
        <v>1108</v>
      </c>
    </row>
    <row r="326" spans="1:6" ht="13.2">
      <c r="B326" s="179">
        <v>410</v>
      </c>
      <c r="D326" s="181" t="s">
        <v>160</v>
      </c>
      <c r="E326" s="181" t="s">
        <v>1109</v>
      </c>
      <c r="F326" s="181" t="s">
        <v>1109</v>
      </c>
    </row>
    <row r="327" spans="1:6" ht="39.6">
      <c r="B327" s="179">
        <v>411</v>
      </c>
      <c r="D327" s="181" t="s">
        <v>161</v>
      </c>
      <c r="E327" s="181" t="s">
        <v>1110</v>
      </c>
      <c r="F327" s="181" t="s">
        <v>1110</v>
      </c>
    </row>
    <row r="328" spans="1:6" ht="13.2">
      <c r="B328" s="179">
        <v>412</v>
      </c>
      <c r="D328" s="181" t="s">
        <v>162</v>
      </c>
      <c r="E328" s="181" t="s">
        <v>1111</v>
      </c>
      <c r="F328" s="181" t="s">
        <v>1111</v>
      </c>
    </row>
    <row r="329" spans="1:6" ht="13.2">
      <c r="B329" s="179">
        <v>413</v>
      </c>
      <c r="D329" s="181" t="s">
        <v>510</v>
      </c>
      <c r="E329" s="181" t="s">
        <v>1112</v>
      </c>
      <c r="F329" s="181" t="s">
        <v>1112</v>
      </c>
    </row>
    <row r="330" spans="1:6" ht="26.4">
      <c r="B330" s="179">
        <v>414</v>
      </c>
      <c r="D330" s="181" t="s">
        <v>163</v>
      </c>
      <c r="E330" s="181" t="s">
        <v>1113</v>
      </c>
      <c r="F330" s="181" t="s">
        <v>1113</v>
      </c>
    </row>
    <row r="331" spans="1:6" ht="13.2">
      <c r="B331" s="179">
        <v>415</v>
      </c>
      <c r="D331" s="181" t="s">
        <v>513</v>
      </c>
      <c r="E331" s="181" t="s">
        <v>1114</v>
      </c>
      <c r="F331" s="181" t="s">
        <v>1114</v>
      </c>
    </row>
    <row r="332" spans="1:6" ht="13.2">
      <c r="B332" s="179">
        <v>416</v>
      </c>
      <c r="D332" s="181" t="s">
        <v>509</v>
      </c>
      <c r="E332" s="181" t="s">
        <v>1115</v>
      </c>
      <c r="F332" s="181" t="s">
        <v>1115</v>
      </c>
    </row>
    <row r="333" spans="1:6" ht="13.2">
      <c r="A333" s="183"/>
      <c r="B333" s="179">
        <v>417</v>
      </c>
      <c r="C333" s="184" t="s">
        <v>414</v>
      </c>
      <c r="D333" s="182" t="s">
        <v>441</v>
      </c>
      <c r="E333" s="182" t="s">
        <v>1116</v>
      </c>
      <c r="F333" s="182" t="s">
        <v>1116</v>
      </c>
    </row>
    <row r="334" spans="1:6" ht="13.2">
      <c r="A334" s="183"/>
      <c r="B334" s="179">
        <v>418</v>
      </c>
      <c r="C334" s="184" t="s">
        <v>414</v>
      </c>
      <c r="D334" s="182" t="s">
        <v>442</v>
      </c>
      <c r="E334" s="182" t="s">
        <v>1117</v>
      </c>
      <c r="F334" s="182" t="s">
        <v>1117</v>
      </c>
    </row>
    <row r="335" spans="1:6" ht="13.2">
      <c r="A335" s="183"/>
      <c r="B335" s="179">
        <v>419</v>
      </c>
      <c r="C335" s="184" t="s">
        <v>414</v>
      </c>
      <c r="D335" s="182" t="s">
        <v>443</v>
      </c>
      <c r="E335" s="182" t="s">
        <v>1118</v>
      </c>
      <c r="F335" s="182" t="s">
        <v>1118</v>
      </c>
    </row>
    <row r="336" spans="1:6" ht="13.2">
      <c r="B336" s="179">
        <v>420</v>
      </c>
      <c r="D336" s="181" t="s">
        <v>164</v>
      </c>
      <c r="E336" s="181" t="s">
        <v>1116</v>
      </c>
      <c r="F336" s="181" t="s">
        <v>1116</v>
      </c>
    </row>
    <row r="337" spans="2:6" ht="13.2">
      <c r="B337" s="179">
        <v>421</v>
      </c>
      <c r="D337" s="181" t="s">
        <v>165</v>
      </c>
      <c r="E337" s="182" t="s">
        <v>1119</v>
      </c>
      <c r="F337" s="182" t="s">
        <v>1119</v>
      </c>
    </row>
    <row r="338" spans="2:6" ht="13.2">
      <c r="B338" s="179">
        <v>422</v>
      </c>
      <c r="D338" s="181" t="s">
        <v>166</v>
      </c>
      <c r="E338" s="181" t="s">
        <v>1120</v>
      </c>
      <c r="F338" s="181" t="s">
        <v>1120</v>
      </c>
    </row>
    <row r="339" spans="2:6" ht="13.2">
      <c r="B339" s="179">
        <v>423</v>
      </c>
      <c r="D339" s="181" t="s">
        <v>167</v>
      </c>
      <c r="E339" s="181" t="s">
        <v>1121</v>
      </c>
      <c r="F339" s="181" t="s">
        <v>1121</v>
      </c>
    </row>
    <row r="340" spans="2:6" ht="13.2">
      <c r="B340" s="179">
        <v>424</v>
      </c>
      <c r="D340" s="181" t="s">
        <v>168</v>
      </c>
      <c r="E340" s="181" t="s">
        <v>1122</v>
      </c>
      <c r="F340" s="181" t="s">
        <v>1122</v>
      </c>
    </row>
    <row r="341" spans="2:6" ht="13.2">
      <c r="B341" s="179">
        <v>425</v>
      </c>
      <c r="D341" s="181" t="s">
        <v>169</v>
      </c>
      <c r="E341" s="181" t="s">
        <v>1123</v>
      </c>
      <c r="F341" s="181" t="s">
        <v>1123</v>
      </c>
    </row>
    <row r="342" spans="2:6" ht="13.2">
      <c r="B342" s="179">
        <v>426</v>
      </c>
      <c r="D342" s="181" t="s">
        <v>170</v>
      </c>
      <c r="E342" s="181" t="s">
        <v>1124</v>
      </c>
      <c r="F342" s="181" t="s">
        <v>1124</v>
      </c>
    </row>
    <row r="343" spans="2:6" ht="13.2">
      <c r="B343" s="179">
        <v>427</v>
      </c>
      <c r="D343" s="181" t="s">
        <v>171</v>
      </c>
      <c r="E343" s="181" t="s">
        <v>1125</v>
      </c>
      <c r="F343" s="181" t="s">
        <v>1125</v>
      </c>
    </row>
    <row r="344" spans="2:6" ht="13.2">
      <c r="B344" s="179">
        <v>428</v>
      </c>
      <c r="D344" s="181" t="s">
        <v>172</v>
      </c>
      <c r="E344" s="181" t="s">
        <v>1126</v>
      </c>
      <c r="F344" s="181" t="s">
        <v>1126</v>
      </c>
    </row>
    <row r="345" spans="2:6" ht="13.2">
      <c r="B345" s="179">
        <v>429</v>
      </c>
      <c r="D345" s="181" t="s">
        <v>173</v>
      </c>
      <c r="E345" s="181" t="s">
        <v>1127</v>
      </c>
      <c r="F345" s="181" t="s">
        <v>1127</v>
      </c>
    </row>
    <row r="346" spans="2:6" ht="13.2">
      <c r="B346" s="179">
        <v>430</v>
      </c>
      <c r="D346" s="181" t="s">
        <v>174</v>
      </c>
      <c r="E346" s="181" t="s">
        <v>1128</v>
      </c>
      <c r="F346" s="181" t="s">
        <v>1128</v>
      </c>
    </row>
    <row r="347" spans="2:6" ht="13.2">
      <c r="B347" s="179">
        <v>431</v>
      </c>
      <c r="D347" s="181" t="s">
        <v>175</v>
      </c>
      <c r="E347" s="181" t="s">
        <v>1129</v>
      </c>
      <c r="F347" s="181" t="s">
        <v>1129</v>
      </c>
    </row>
    <row r="348" spans="2:6" ht="13.2">
      <c r="B348" s="179">
        <v>432</v>
      </c>
      <c r="D348" s="181" t="s">
        <v>176</v>
      </c>
      <c r="E348" s="181" t="s">
        <v>1130</v>
      </c>
      <c r="F348" s="181" t="s">
        <v>1130</v>
      </c>
    </row>
    <row r="349" spans="2:6" ht="13.2">
      <c r="B349" s="179">
        <v>433</v>
      </c>
      <c r="D349" s="181" t="s">
        <v>177</v>
      </c>
      <c r="E349" s="181" t="s">
        <v>1131</v>
      </c>
      <c r="F349" s="181" t="s">
        <v>1131</v>
      </c>
    </row>
    <row r="350" spans="2:6" ht="13.2">
      <c r="B350" s="179">
        <v>434</v>
      </c>
      <c r="D350" s="181" t="s">
        <v>516</v>
      </c>
      <c r="E350" s="181" t="s">
        <v>1132</v>
      </c>
      <c r="F350" s="181" t="s">
        <v>1132</v>
      </c>
    </row>
    <row r="351" spans="2:6" ht="13.2">
      <c r="B351" s="179">
        <v>435</v>
      </c>
      <c r="D351" s="181" t="s">
        <v>515</v>
      </c>
      <c r="E351" s="181" t="s">
        <v>1133</v>
      </c>
      <c r="F351" s="181" t="s">
        <v>1133</v>
      </c>
    </row>
    <row r="352" spans="2:6" ht="13.2">
      <c r="B352" s="179">
        <v>436</v>
      </c>
      <c r="D352" s="181" t="s">
        <v>178</v>
      </c>
      <c r="E352" s="181" t="s">
        <v>1134</v>
      </c>
      <c r="F352" s="181" t="s">
        <v>1134</v>
      </c>
    </row>
    <row r="353" spans="2:6" ht="13.2">
      <c r="B353" s="179">
        <v>437</v>
      </c>
      <c r="D353" s="181" t="s">
        <v>179</v>
      </c>
      <c r="E353" s="181" t="s">
        <v>1135</v>
      </c>
      <c r="F353" s="181" t="s">
        <v>1135</v>
      </c>
    </row>
    <row r="354" spans="2:6" ht="13.2">
      <c r="B354" s="179">
        <v>438</v>
      </c>
      <c r="D354" s="181" t="s">
        <v>180</v>
      </c>
      <c r="E354" s="181" t="s">
        <v>1136</v>
      </c>
      <c r="F354" s="181" t="s">
        <v>1136</v>
      </c>
    </row>
    <row r="355" spans="2:6" ht="13.2">
      <c r="B355" s="179">
        <v>439</v>
      </c>
      <c r="D355" s="181" t="s">
        <v>181</v>
      </c>
      <c r="E355" s="181" t="s">
        <v>1137</v>
      </c>
      <c r="F355" s="181" t="s">
        <v>1137</v>
      </c>
    </row>
    <row r="356" spans="2:6" ht="13.2">
      <c r="B356" s="179">
        <v>440</v>
      </c>
      <c r="D356" s="181" t="s">
        <v>182</v>
      </c>
      <c r="E356" s="181" t="s">
        <v>1138</v>
      </c>
      <c r="F356" s="181" t="s">
        <v>1138</v>
      </c>
    </row>
    <row r="357" spans="2:6" ht="13.2">
      <c r="B357" s="179">
        <v>441</v>
      </c>
      <c r="D357" s="181" t="s">
        <v>183</v>
      </c>
      <c r="E357" s="181" t="s">
        <v>1139</v>
      </c>
      <c r="F357" s="181" t="s">
        <v>1139</v>
      </c>
    </row>
    <row r="358" spans="2:6" ht="13.2">
      <c r="B358" s="179">
        <v>442</v>
      </c>
      <c r="D358" s="181" t="s">
        <v>517</v>
      </c>
      <c r="E358" s="181" t="s">
        <v>1140</v>
      </c>
      <c r="F358" s="181" t="s">
        <v>1140</v>
      </c>
    </row>
    <row r="359" spans="2:6" ht="13.2">
      <c r="B359" s="179">
        <v>443</v>
      </c>
      <c r="D359" s="181" t="s">
        <v>503</v>
      </c>
      <c r="E359" s="181" t="s">
        <v>1141</v>
      </c>
      <c r="F359" s="181" t="s">
        <v>1141</v>
      </c>
    </row>
    <row r="360" spans="2:6">
      <c r="B360" s="179">
        <v>444</v>
      </c>
      <c r="D360" s="181" t="s">
        <v>392</v>
      </c>
      <c r="E360" s="181" t="s">
        <v>392</v>
      </c>
      <c r="F360" s="181" t="s">
        <v>392</v>
      </c>
    </row>
    <row r="361" spans="2:6" ht="26.4">
      <c r="B361" s="179">
        <v>445</v>
      </c>
      <c r="C361" s="180" t="s">
        <v>547</v>
      </c>
      <c r="D361" s="181" t="s">
        <v>575</v>
      </c>
      <c r="E361" s="181" t="s">
        <v>1142</v>
      </c>
      <c r="F361" s="181" t="s">
        <v>1142</v>
      </c>
    </row>
    <row r="362" spans="2:6" ht="13.2">
      <c r="B362" s="179">
        <v>446</v>
      </c>
      <c r="D362" s="181" t="s">
        <v>603</v>
      </c>
      <c r="E362" s="181" t="s">
        <v>1143</v>
      </c>
      <c r="F362" s="181" t="s">
        <v>1143</v>
      </c>
    </row>
    <row r="363" spans="2:6" ht="13.2">
      <c r="B363" s="179">
        <v>447</v>
      </c>
      <c r="C363" s="180" t="s">
        <v>470</v>
      </c>
      <c r="D363" s="181" t="s">
        <v>475</v>
      </c>
      <c r="E363" s="181" t="s">
        <v>1144</v>
      </c>
      <c r="F363" s="181" t="s">
        <v>1144</v>
      </c>
    </row>
    <row r="364" spans="2:6" ht="13.2">
      <c r="B364" s="179">
        <v>448</v>
      </c>
      <c r="D364" s="181" t="s">
        <v>184</v>
      </c>
      <c r="E364" s="181" t="s">
        <v>1145</v>
      </c>
      <c r="F364" s="181" t="s">
        <v>1145</v>
      </c>
    </row>
    <row r="365" spans="2:6" ht="26.4">
      <c r="B365" s="179">
        <v>449</v>
      </c>
      <c r="D365" s="181" t="s">
        <v>185</v>
      </c>
      <c r="E365" s="181" t="s">
        <v>1146</v>
      </c>
      <c r="F365" s="181" t="s">
        <v>1146</v>
      </c>
    </row>
    <row r="366" spans="2:6" ht="13.2">
      <c r="B366" s="179">
        <v>450</v>
      </c>
      <c r="D366" s="181" t="s">
        <v>186</v>
      </c>
      <c r="E366" s="181" t="s">
        <v>1147</v>
      </c>
      <c r="F366" s="181" t="s">
        <v>1147</v>
      </c>
    </row>
    <row r="367" spans="2:6" ht="13.2">
      <c r="B367" s="179">
        <v>451</v>
      </c>
      <c r="D367" s="181" t="s">
        <v>609</v>
      </c>
      <c r="E367" s="181" t="s">
        <v>1148</v>
      </c>
      <c r="F367" s="181" t="s">
        <v>1148</v>
      </c>
    </row>
    <row r="368" spans="2:6" ht="26.4">
      <c r="B368" s="179">
        <v>452</v>
      </c>
      <c r="D368" s="181" t="s">
        <v>187</v>
      </c>
      <c r="E368" s="181" t="s">
        <v>1149</v>
      </c>
      <c r="F368" s="181" t="s">
        <v>1149</v>
      </c>
    </row>
    <row r="369" spans="2:6" ht="13.2">
      <c r="B369" s="179">
        <v>453</v>
      </c>
      <c r="D369" s="182" t="s">
        <v>444</v>
      </c>
      <c r="E369" s="181" t="s">
        <v>928</v>
      </c>
      <c r="F369" s="181" t="s">
        <v>928</v>
      </c>
    </row>
    <row r="370" spans="2:6" ht="13.2">
      <c r="B370" s="179">
        <v>454</v>
      </c>
      <c r="D370" s="181" t="s">
        <v>393</v>
      </c>
      <c r="E370" s="181" t="s">
        <v>1150</v>
      </c>
      <c r="F370" s="181" t="s">
        <v>1150</v>
      </c>
    </row>
    <row r="371" spans="2:6" ht="13.2">
      <c r="B371" s="179">
        <v>455</v>
      </c>
      <c r="D371" s="181" t="s">
        <v>188</v>
      </c>
      <c r="E371" s="181" t="s">
        <v>1151</v>
      </c>
      <c r="F371" s="181" t="s">
        <v>1151</v>
      </c>
    </row>
    <row r="372" spans="2:6" ht="13.2">
      <c r="B372" s="179">
        <v>456</v>
      </c>
      <c r="D372" s="181" t="s">
        <v>394</v>
      </c>
      <c r="E372" s="181" t="s">
        <v>1152</v>
      </c>
      <c r="F372" s="181" t="s">
        <v>1152</v>
      </c>
    </row>
    <row r="373" spans="2:6" ht="13.2">
      <c r="B373" s="179">
        <v>457</v>
      </c>
      <c r="D373" s="181" t="s">
        <v>189</v>
      </c>
      <c r="E373" s="181" t="s">
        <v>1153</v>
      </c>
      <c r="F373" s="181" t="s">
        <v>1153</v>
      </c>
    </row>
    <row r="374" spans="2:6" ht="13.2">
      <c r="B374" s="179">
        <v>458</v>
      </c>
      <c r="D374" s="181" t="s">
        <v>190</v>
      </c>
      <c r="E374" s="181" t="s">
        <v>1154</v>
      </c>
      <c r="F374" s="181" t="s">
        <v>1154</v>
      </c>
    </row>
    <row r="375" spans="2:6" ht="13.2">
      <c r="B375" s="179">
        <v>459</v>
      </c>
      <c r="C375" s="180" t="s">
        <v>547</v>
      </c>
      <c r="D375" s="181" t="s">
        <v>567</v>
      </c>
      <c r="E375" s="181" t="s">
        <v>1155</v>
      </c>
      <c r="F375" s="181" t="s">
        <v>1155</v>
      </c>
    </row>
    <row r="376" spans="2:6" ht="13.2">
      <c r="B376" s="179">
        <v>460</v>
      </c>
      <c r="D376" s="181" t="s">
        <v>191</v>
      </c>
      <c r="E376" s="181" t="s">
        <v>1155</v>
      </c>
      <c r="F376" s="181" t="s">
        <v>1155</v>
      </c>
    </row>
    <row r="377" spans="2:6" ht="13.2">
      <c r="B377" s="179">
        <v>461</v>
      </c>
      <c r="D377" s="181" t="s">
        <v>192</v>
      </c>
      <c r="E377" s="181" t="s">
        <v>1156</v>
      </c>
      <c r="F377" s="181" t="s">
        <v>1156</v>
      </c>
    </row>
    <row r="378" spans="2:6" ht="13.2">
      <c r="B378" s="179">
        <v>462</v>
      </c>
      <c r="D378" s="181" t="s">
        <v>628</v>
      </c>
      <c r="E378" s="181" t="s">
        <v>1157</v>
      </c>
      <c r="F378" s="181" t="s">
        <v>1157</v>
      </c>
    </row>
    <row r="379" spans="2:6" ht="13.2">
      <c r="B379" s="179">
        <v>463</v>
      </c>
      <c r="D379" s="181" t="s">
        <v>193</v>
      </c>
      <c r="E379" s="181" t="s">
        <v>1158</v>
      </c>
      <c r="F379" s="181" t="s">
        <v>1158</v>
      </c>
    </row>
    <row r="380" spans="2:6">
      <c r="B380" s="179">
        <v>464</v>
      </c>
      <c r="D380" s="181" t="s">
        <v>194</v>
      </c>
      <c r="F380" s="181"/>
    </row>
    <row r="381" spans="2:6" ht="13.2">
      <c r="B381" s="179">
        <v>465</v>
      </c>
      <c r="D381" s="181" t="s">
        <v>395</v>
      </c>
      <c r="E381" s="181" t="s">
        <v>1159</v>
      </c>
      <c r="F381" s="181" t="s">
        <v>1159</v>
      </c>
    </row>
    <row r="382" spans="2:6" ht="24">
      <c r="B382" s="179">
        <v>466</v>
      </c>
      <c r="D382" s="181" t="s">
        <v>618</v>
      </c>
      <c r="E382" s="181" t="s">
        <v>1160</v>
      </c>
      <c r="F382" s="181" t="s">
        <v>1160</v>
      </c>
    </row>
    <row r="383" spans="2:6" ht="24">
      <c r="B383" s="179">
        <v>467</v>
      </c>
      <c r="D383" s="181" t="s">
        <v>195</v>
      </c>
      <c r="E383" s="181" t="s">
        <v>1161</v>
      </c>
      <c r="F383" s="181" t="s">
        <v>1161</v>
      </c>
    </row>
    <row r="384" spans="2:6" ht="13.2">
      <c r="B384" s="179">
        <v>468</v>
      </c>
      <c r="D384" s="181" t="s">
        <v>196</v>
      </c>
      <c r="E384" s="181" t="s">
        <v>1162</v>
      </c>
      <c r="F384" s="181" t="s">
        <v>1162</v>
      </c>
    </row>
    <row r="385" spans="2:6" ht="13.2">
      <c r="B385" s="179">
        <v>469</v>
      </c>
      <c r="D385" s="181" t="s">
        <v>197</v>
      </c>
      <c r="E385" s="181" t="s">
        <v>1163</v>
      </c>
      <c r="F385" s="181" t="s">
        <v>1163</v>
      </c>
    </row>
    <row r="386" spans="2:6" ht="13.2">
      <c r="B386" s="179">
        <v>470</v>
      </c>
      <c r="C386" s="180" t="s">
        <v>547</v>
      </c>
      <c r="D386" s="181" t="s">
        <v>560</v>
      </c>
      <c r="E386" s="181" t="s">
        <v>1164</v>
      </c>
      <c r="F386" s="181" t="s">
        <v>1164</v>
      </c>
    </row>
    <row r="387" spans="2:6" ht="13.2">
      <c r="B387" s="179">
        <v>471</v>
      </c>
      <c r="C387" s="180" t="s">
        <v>547</v>
      </c>
      <c r="D387" s="181" t="s">
        <v>564</v>
      </c>
      <c r="E387" s="181" t="s">
        <v>1165</v>
      </c>
      <c r="F387" s="181" t="s">
        <v>1165</v>
      </c>
    </row>
    <row r="388" spans="2:6" ht="13.2">
      <c r="B388" s="179">
        <v>472</v>
      </c>
      <c r="D388" s="181" t="s">
        <v>198</v>
      </c>
      <c r="E388" s="181" t="s">
        <v>1166</v>
      </c>
      <c r="F388" s="181" t="s">
        <v>1166</v>
      </c>
    </row>
    <row r="389" spans="2:6" ht="13.2">
      <c r="B389" s="179">
        <v>473</v>
      </c>
      <c r="C389" s="180" t="s">
        <v>547</v>
      </c>
      <c r="D389" s="181" t="s">
        <v>556</v>
      </c>
      <c r="E389" s="181" t="s">
        <v>1167</v>
      </c>
      <c r="F389" s="181" t="s">
        <v>1167</v>
      </c>
    </row>
    <row r="390" spans="2:6" ht="24">
      <c r="B390" s="179">
        <v>474</v>
      </c>
      <c r="C390" s="180" t="s">
        <v>547</v>
      </c>
      <c r="D390" s="181" t="s">
        <v>558</v>
      </c>
      <c r="E390" s="181" t="s">
        <v>1168</v>
      </c>
      <c r="F390" s="181" t="s">
        <v>1168</v>
      </c>
    </row>
    <row r="391" spans="2:6" ht="13.2">
      <c r="B391" s="179">
        <v>475</v>
      </c>
      <c r="C391" s="180" t="s">
        <v>547</v>
      </c>
      <c r="D391" s="181" t="s">
        <v>559</v>
      </c>
      <c r="E391" s="181" t="s">
        <v>1169</v>
      </c>
      <c r="F391" s="181" t="s">
        <v>1169</v>
      </c>
    </row>
    <row r="392" spans="2:6" ht="13.2">
      <c r="B392" s="179">
        <v>476</v>
      </c>
      <c r="D392" s="181" t="s">
        <v>199</v>
      </c>
      <c r="E392" s="181" t="s">
        <v>1170</v>
      </c>
      <c r="F392" s="181" t="s">
        <v>1170</v>
      </c>
    </row>
    <row r="393" spans="2:6" ht="13.2">
      <c r="B393" s="179">
        <v>477</v>
      </c>
      <c r="D393" s="181" t="s">
        <v>200</v>
      </c>
      <c r="E393" s="181" t="s">
        <v>1171</v>
      </c>
      <c r="F393" s="181" t="s">
        <v>1171</v>
      </c>
    </row>
    <row r="394" spans="2:6" ht="39.6">
      <c r="B394" s="179">
        <v>478</v>
      </c>
      <c r="C394" s="180" t="s">
        <v>547</v>
      </c>
      <c r="D394" s="181" t="s">
        <v>577</v>
      </c>
      <c r="E394" s="181" t="s">
        <v>1172</v>
      </c>
      <c r="F394" s="181" t="s">
        <v>1172</v>
      </c>
    </row>
    <row r="395" spans="2:6" ht="13.2">
      <c r="B395" s="179">
        <v>479</v>
      </c>
      <c r="D395" s="181" t="s">
        <v>201</v>
      </c>
      <c r="E395" s="181" t="s">
        <v>1173</v>
      </c>
      <c r="F395" s="181" t="s">
        <v>1173</v>
      </c>
    </row>
    <row r="396" spans="2:6" ht="13.2">
      <c r="B396" s="179">
        <v>480</v>
      </c>
      <c r="D396" s="181" t="s">
        <v>632</v>
      </c>
      <c r="E396" s="181" t="s">
        <v>1174</v>
      </c>
      <c r="F396" s="181" t="s">
        <v>1174</v>
      </c>
    </row>
    <row r="397" spans="2:6" ht="13.2">
      <c r="B397" s="179">
        <v>481</v>
      </c>
      <c r="D397" s="181" t="s">
        <v>202</v>
      </c>
      <c r="E397" s="181" t="s">
        <v>1175</v>
      </c>
      <c r="F397" s="181" t="s">
        <v>1175</v>
      </c>
    </row>
    <row r="398" spans="2:6" ht="13.2">
      <c r="B398" s="179">
        <v>482</v>
      </c>
      <c r="D398" s="181" t="s">
        <v>203</v>
      </c>
      <c r="E398" s="181" t="s">
        <v>1176</v>
      </c>
      <c r="F398" s="181" t="s">
        <v>1176</v>
      </c>
    </row>
    <row r="399" spans="2:6" ht="13.2">
      <c r="B399" s="179">
        <v>483</v>
      </c>
      <c r="D399" s="181" t="s">
        <v>204</v>
      </c>
      <c r="E399" s="181" t="s">
        <v>1177</v>
      </c>
      <c r="F399" s="181" t="s">
        <v>1177</v>
      </c>
    </row>
    <row r="400" spans="2:6" ht="13.2">
      <c r="B400" s="179">
        <v>484</v>
      </c>
      <c r="D400" s="181" t="s">
        <v>205</v>
      </c>
      <c r="E400" s="181" t="s">
        <v>1178</v>
      </c>
      <c r="F400" s="181" t="s">
        <v>1178</v>
      </c>
    </row>
    <row r="401" spans="2:6" ht="26.4">
      <c r="B401" s="179">
        <v>485</v>
      </c>
      <c r="D401" s="181" t="s">
        <v>206</v>
      </c>
      <c r="E401" s="181" t="s">
        <v>1179</v>
      </c>
      <c r="F401" s="181" t="s">
        <v>1179</v>
      </c>
    </row>
    <row r="402" spans="2:6" ht="13.2">
      <c r="B402" s="179">
        <v>486</v>
      </c>
      <c r="D402" s="181" t="s">
        <v>631</v>
      </c>
      <c r="E402" s="181" t="s">
        <v>1180</v>
      </c>
      <c r="F402" s="181" t="s">
        <v>1180</v>
      </c>
    </row>
    <row r="403" spans="2:6" ht="13.2">
      <c r="B403" s="179">
        <v>487</v>
      </c>
      <c r="D403" s="181" t="s">
        <v>629</v>
      </c>
      <c r="E403" s="181" t="s">
        <v>1181</v>
      </c>
      <c r="F403" s="181" t="s">
        <v>1181</v>
      </c>
    </row>
    <row r="404" spans="2:6" ht="13.2">
      <c r="B404" s="179">
        <v>488</v>
      </c>
      <c r="D404" s="181" t="s">
        <v>630</v>
      </c>
      <c r="E404" s="181" t="s">
        <v>1182</v>
      </c>
      <c r="F404" s="181" t="s">
        <v>1182</v>
      </c>
    </row>
    <row r="405" spans="2:6" ht="13.2">
      <c r="B405" s="179">
        <v>489</v>
      </c>
      <c r="D405" s="181" t="s">
        <v>207</v>
      </c>
      <c r="E405" s="181" t="s">
        <v>1183</v>
      </c>
      <c r="F405" s="181" t="s">
        <v>1183</v>
      </c>
    </row>
    <row r="406" spans="2:6" ht="13.2">
      <c r="B406" s="179">
        <v>490</v>
      </c>
      <c r="C406" s="180" t="s">
        <v>470</v>
      </c>
      <c r="D406" s="181" t="s">
        <v>474</v>
      </c>
      <c r="E406" s="181" t="s">
        <v>1184</v>
      </c>
      <c r="F406" s="181" t="s">
        <v>1184</v>
      </c>
    </row>
    <row r="407" spans="2:6" ht="13.2">
      <c r="B407" s="179">
        <v>491</v>
      </c>
      <c r="D407" s="181" t="s">
        <v>208</v>
      </c>
      <c r="E407" s="181" t="s">
        <v>1185</v>
      </c>
      <c r="F407" s="181" t="s">
        <v>1185</v>
      </c>
    </row>
    <row r="408" spans="2:6" ht="13.2">
      <c r="B408" s="179">
        <v>492</v>
      </c>
      <c r="C408" s="180" t="s">
        <v>488</v>
      </c>
      <c r="D408" s="181" t="s">
        <v>486</v>
      </c>
      <c r="E408" s="181" t="s">
        <v>1186</v>
      </c>
      <c r="F408" s="181" t="s">
        <v>1186</v>
      </c>
    </row>
    <row r="409" spans="2:6" ht="13.2">
      <c r="B409" s="179">
        <v>493</v>
      </c>
      <c r="C409" s="180" t="s">
        <v>488</v>
      </c>
      <c r="D409" s="181" t="s">
        <v>485</v>
      </c>
      <c r="E409" s="181" t="s">
        <v>1187</v>
      </c>
      <c r="F409" s="181" t="s">
        <v>1187</v>
      </c>
    </row>
    <row r="410" spans="2:6" ht="13.2">
      <c r="B410" s="179">
        <v>494</v>
      </c>
      <c r="D410" s="181" t="s">
        <v>209</v>
      </c>
      <c r="E410" s="181" t="s">
        <v>1188</v>
      </c>
      <c r="F410" s="181" t="s">
        <v>1188</v>
      </c>
    </row>
    <row r="411" spans="2:6" ht="13.2">
      <c r="B411" s="179">
        <v>495</v>
      </c>
      <c r="D411" s="181" t="s">
        <v>210</v>
      </c>
      <c r="E411" s="181" t="s">
        <v>1189</v>
      </c>
      <c r="F411" s="181" t="s">
        <v>1189</v>
      </c>
    </row>
    <row r="412" spans="2:6" ht="13.2">
      <c r="B412" s="179">
        <v>496</v>
      </c>
      <c r="C412" s="180" t="s">
        <v>547</v>
      </c>
      <c r="D412" s="181" t="s">
        <v>660</v>
      </c>
      <c r="E412" s="181" t="s">
        <v>1190</v>
      </c>
      <c r="F412" s="181" t="s">
        <v>1190</v>
      </c>
    </row>
    <row r="413" spans="2:6" ht="13.2">
      <c r="B413" s="179">
        <v>497</v>
      </c>
      <c r="D413" s="181" t="s">
        <v>211</v>
      </c>
      <c r="E413" s="181" t="s">
        <v>1191</v>
      </c>
      <c r="F413" s="181" t="s">
        <v>1191</v>
      </c>
    </row>
    <row r="414" spans="2:6" ht="39.6">
      <c r="B414" s="179">
        <v>498</v>
      </c>
      <c r="D414" s="181" t="s">
        <v>212</v>
      </c>
      <c r="E414" s="181" t="s">
        <v>1192</v>
      </c>
      <c r="F414" s="181" t="s">
        <v>1192</v>
      </c>
    </row>
    <row r="415" spans="2:6" ht="13.2">
      <c r="B415" s="179">
        <v>499</v>
      </c>
      <c r="D415" s="181" t="s">
        <v>213</v>
      </c>
      <c r="E415" s="181" t="s">
        <v>1193</v>
      </c>
      <c r="F415" s="181" t="s">
        <v>1193</v>
      </c>
    </row>
    <row r="416" spans="2:6" ht="24">
      <c r="B416" s="179">
        <v>500</v>
      </c>
      <c r="D416" s="181" t="s">
        <v>214</v>
      </c>
      <c r="E416" s="181" t="s">
        <v>1194</v>
      </c>
      <c r="F416" s="181" t="s">
        <v>1194</v>
      </c>
    </row>
    <row r="417" spans="2:6" ht="13.2">
      <c r="B417" s="179">
        <v>501</v>
      </c>
      <c r="D417" s="181" t="s">
        <v>215</v>
      </c>
      <c r="E417" s="181" t="s">
        <v>1195</v>
      </c>
      <c r="F417" s="181" t="s">
        <v>1195</v>
      </c>
    </row>
    <row r="418" spans="2:6" ht="24">
      <c r="B418" s="179">
        <v>502</v>
      </c>
      <c r="D418" s="181" t="s">
        <v>216</v>
      </c>
      <c r="E418" s="181" t="s">
        <v>1196</v>
      </c>
      <c r="F418" s="181" t="s">
        <v>1196</v>
      </c>
    </row>
    <row r="419" spans="2:6" ht="24">
      <c r="B419" s="179">
        <v>503</v>
      </c>
      <c r="D419" s="181" t="s">
        <v>217</v>
      </c>
      <c r="E419" s="181" t="s">
        <v>1197</v>
      </c>
      <c r="F419" s="181" t="s">
        <v>1197</v>
      </c>
    </row>
    <row r="420" spans="2:6" ht="24">
      <c r="B420" s="179">
        <v>504</v>
      </c>
      <c r="D420" s="181" t="s">
        <v>218</v>
      </c>
      <c r="E420" s="181" t="s">
        <v>1198</v>
      </c>
      <c r="F420" s="181" t="s">
        <v>1198</v>
      </c>
    </row>
    <row r="421" spans="2:6" ht="24">
      <c r="B421" s="179">
        <v>505</v>
      </c>
      <c r="D421" s="181" t="s">
        <v>219</v>
      </c>
      <c r="E421" s="181" t="s">
        <v>1199</v>
      </c>
      <c r="F421" s="181" t="s">
        <v>1199</v>
      </c>
    </row>
    <row r="422" spans="2:6" ht="24">
      <c r="B422" s="179">
        <v>506</v>
      </c>
      <c r="D422" s="181" t="s">
        <v>220</v>
      </c>
      <c r="E422" s="181" t="s">
        <v>1200</v>
      </c>
      <c r="F422" s="181" t="s">
        <v>1200</v>
      </c>
    </row>
    <row r="423" spans="2:6" ht="24">
      <c r="B423" s="179">
        <v>507</v>
      </c>
      <c r="D423" s="181" t="s">
        <v>221</v>
      </c>
      <c r="E423" s="181" t="s">
        <v>1201</v>
      </c>
      <c r="F423" s="181" t="s">
        <v>1201</v>
      </c>
    </row>
    <row r="424" spans="2:6" ht="24">
      <c r="B424" s="179">
        <v>508</v>
      </c>
      <c r="D424" s="181" t="s">
        <v>222</v>
      </c>
      <c r="E424" s="181" t="s">
        <v>1202</v>
      </c>
      <c r="F424" s="181" t="s">
        <v>1202</v>
      </c>
    </row>
    <row r="425" spans="2:6" ht="24">
      <c r="B425" s="179">
        <v>509</v>
      </c>
      <c r="D425" s="181" t="s">
        <v>223</v>
      </c>
      <c r="E425" s="181" t="s">
        <v>1203</v>
      </c>
      <c r="F425" s="181" t="s">
        <v>1203</v>
      </c>
    </row>
    <row r="426" spans="2:6" ht="24">
      <c r="B426" s="179">
        <v>510</v>
      </c>
      <c r="D426" s="181" t="s">
        <v>224</v>
      </c>
      <c r="E426" s="181" t="s">
        <v>1204</v>
      </c>
      <c r="F426" s="181" t="s">
        <v>1204</v>
      </c>
    </row>
    <row r="427" spans="2:6" ht="24">
      <c r="B427" s="179">
        <v>511</v>
      </c>
      <c r="D427" s="181" t="s">
        <v>225</v>
      </c>
      <c r="E427" s="181" t="s">
        <v>1205</v>
      </c>
      <c r="F427" s="181" t="s">
        <v>1205</v>
      </c>
    </row>
    <row r="428" spans="2:6" ht="24">
      <c r="B428" s="179">
        <v>512</v>
      </c>
      <c r="D428" s="181" t="s">
        <v>226</v>
      </c>
      <c r="E428" s="181" t="s">
        <v>1206</v>
      </c>
      <c r="F428" s="181" t="s">
        <v>1206</v>
      </c>
    </row>
    <row r="429" spans="2:6" ht="24">
      <c r="B429" s="179">
        <v>513</v>
      </c>
      <c r="D429" s="181" t="s">
        <v>227</v>
      </c>
      <c r="E429" s="181" t="s">
        <v>1207</v>
      </c>
      <c r="F429" s="181" t="s">
        <v>1207</v>
      </c>
    </row>
    <row r="430" spans="2:6" ht="24">
      <c r="B430" s="179">
        <v>514</v>
      </c>
      <c r="D430" s="181" t="s">
        <v>228</v>
      </c>
      <c r="E430" s="181" t="s">
        <v>1208</v>
      </c>
      <c r="F430" s="181" t="s">
        <v>1208</v>
      </c>
    </row>
    <row r="431" spans="2:6" ht="24">
      <c r="B431" s="179">
        <v>515</v>
      </c>
      <c r="D431" s="181" t="s">
        <v>229</v>
      </c>
      <c r="E431" s="181" t="s">
        <v>1209</v>
      </c>
      <c r="F431" s="181" t="s">
        <v>1209</v>
      </c>
    </row>
    <row r="432" spans="2:6" ht="24">
      <c r="B432" s="179">
        <v>516</v>
      </c>
      <c r="D432" s="181" t="s">
        <v>230</v>
      </c>
      <c r="E432" s="181" t="s">
        <v>1210</v>
      </c>
      <c r="F432" s="181" t="s">
        <v>1210</v>
      </c>
    </row>
    <row r="433" spans="1:27" ht="24">
      <c r="B433" s="179">
        <v>517</v>
      </c>
      <c r="D433" s="181" t="s">
        <v>231</v>
      </c>
      <c r="E433" s="181" t="s">
        <v>1211</v>
      </c>
      <c r="F433" s="181" t="s">
        <v>1211</v>
      </c>
    </row>
    <row r="434" spans="1:27" ht="24">
      <c r="B434" s="179">
        <v>518</v>
      </c>
      <c r="D434" s="181" t="s">
        <v>232</v>
      </c>
      <c r="E434" s="181" t="s">
        <v>1212</v>
      </c>
      <c r="F434" s="181" t="s">
        <v>1212</v>
      </c>
    </row>
    <row r="435" spans="1:27" ht="24">
      <c r="B435" s="179">
        <v>519</v>
      </c>
      <c r="D435" s="181" t="s">
        <v>233</v>
      </c>
      <c r="E435" s="181" t="s">
        <v>1213</v>
      </c>
      <c r="F435" s="181" t="s">
        <v>1213</v>
      </c>
    </row>
    <row r="436" spans="1:27" ht="24">
      <c r="B436" s="179">
        <v>520</v>
      </c>
      <c r="D436" s="181" t="s">
        <v>234</v>
      </c>
      <c r="E436" s="181" t="s">
        <v>1214</v>
      </c>
      <c r="F436" s="181" t="s">
        <v>1214</v>
      </c>
    </row>
    <row r="437" spans="1:27" ht="24">
      <c r="B437" s="179">
        <v>521</v>
      </c>
      <c r="D437" s="181" t="s">
        <v>396</v>
      </c>
      <c r="E437" s="181" t="s">
        <v>1215</v>
      </c>
      <c r="F437" s="181" t="s">
        <v>1215</v>
      </c>
    </row>
    <row r="438" spans="1:27" ht="24">
      <c r="B438" s="179">
        <v>522</v>
      </c>
      <c r="D438" s="181" t="s">
        <v>397</v>
      </c>
      <c r="E438" s="181" t="s">
        <v>1215</v>
      </c>
      <c r="F438" s="181" t="s">
        <v>1215</v>
      </c>
    </row>
    <row r="439" spans="1:27" ht="26.4">
      <c r="B439" s="179">
        <v>523</v>
      </c>
      <c r="D439" s="181" t="s">
        <v>235</v>
      </c>
      <c r="E439" s="181" t="s">
        <v>1216</v>
      </c>
      <c r="F439" s="181" t="s">
        <v>1216</v>
      </c>
    </row>
    <row r="440" spans="1:27" ht="24">
      <c r="B440" s="179">
        <v>524</v>
      </c>
      <c r="D440" s="181" t="s">
        <v>236</v>
      </c>
      <c r="E440" s="181" t="s">
        <v>1217</v>
      </c>
      <c r="F440" s="181" t="s">
        <v>1217</v>
      </c>
    </row>
    <row r="441" spans="1:27" ht="26.4">
      <c r="B441" s="179">
        <v>525</v>
      </c>
      <c r="D441" s="181" t="s">
        <v>237</v>
      </c>
      <c r="E441" s="181" t="s">
        <v>1218</v>
      </c>
      <c r="F441" s="181" t="s">
        <v>1218</v>
      </c>
    </row>
    <row r="442" spans="1:27" ht="24">
      <c r="B442" s="179">
        <v>526</v>
      </c>
      <c r="D442" s="181" t="s">
        <v>238</v>
      </c>
      <c r="E442" s="181" t="s">
        <v>1219</v>
      </c>
      <c r="F442" s="181" t="s">
        <v>1219</v>
      </c>
    </row>
    <row r="443" spans="1:27" ht="24">
      <c r="B443" s="179">
        <v>527</v>
      </c>
      <c r="D443" s="181" t="s">
        <v>398</v>
      </c>
      <c r="E443" s="181" t="s">
        <v>1220</v>
      </c>
      <c r="F443" s="181" t="s">
        <v>1220</v>
      </c>
    </row>
    <row r="444" spans="1:27" s="182" customFormat="1" ht="24">
      <c r="A444" s="178"/>
      <c r="B444" s="179">
        <v>528</v>
      </c>
      <c r="C444" s="180"/>
      <c r="D444" s="181" t="s">
        <v>399</v>
      </c>
      <c r="E444" s="181" t="s">
        <v>1221</v>
      </c>
      <c r="F444" s="181" t="s">
        <v>1221</v>
      </c>
      <c r="G444" s="178"/>
      <c r="H444" s="178"/>
      <c r="I444" s="178"/>
      <c r="J444" s="178"/>
      <c r="K444" s="178"/>
      <c r="L444" s="178"/>
      <c r="M444" s="178"/>
      <c r="N444" s="178"/>
      <c r="O444" s="178"/>
      <c r="P444" s="178"/>
      <c r="Q444" s="178"/>
      <c r="R444" s="178"/>
      <c r="S444" s="178"/>
      <c r="T444" s="178"/>
      <c r="U444" s="178"/>
      <c r="V444" s="178"/>
      <c r="W444" s="178"/>
      <c r="X444" s="178"/>
      <c r="Y444" s="178"/>
      <c r="Z444" s="178"/>
      <c r="AA444" s="178"/>
    </row>
    <row r="445" spans="1:27" s="182" customFormat="1" ht="13.2">
      <c r="A445" s="178"/>
      <c r="B445" s="179">
        <v>529</v>
      </c>
      <c r="C445" s="180"/>
      <c r="D445" s="181" t="s">
        <v>239</v>
      </c>
      <c r="E445" s="181" t="s">
        <v>1222</v>
      </c>
      <c r="F445" s="181" t="s">
        <v>1222</v>
      </c>
      <c r="G445" s="178"/>
      <c r="H445" s="178"/>
      <c r="I445" s="178"/>
      <c r="J445" s="178"/>
      <c r="K445" s="178"/>
      <c r="L445" s="178"/>
      <c r="M445" s="178"/>
      <c r="N445" s="178"/>
      <c r="O445" s="178"/>
      <c r="P445" s="178"/>
      <c r="Q445" s="178"/>
      <c r="R445" s="178"/>
      <c r="S445" s="178"/>
      <c r="T445" s="178"/>
      <c r="U445" s="178"/>
      <c r="V445" s="178"/>
      <c r="W445" s="178"/>
      <c r="X445" s="178"/>
      <c r="Y445" s="178"/>
      <c r="Z445" s="178"/>
      <c r="AA445" s="178"/>
    </row>
    <row r="446" spans="1:27" s="183" customFormat="1" ht="26.4">
      <c r="A446" s="178"/>
      <c r="B446" s="179">
        <v>530</v>
      </c>
      <c r="C446" s="180"/>
      <c r="D446" s="181" t="s">
        <v>240</v>
      </c>
      <c r="E446" s="181" t="s">
        <v>1223</v>
      </c>
      <c r="F446" s="181" t="s">
        <v>1223</v>
      </c>
      <c r="G446" s="178"/>
      <c r="H446" s="178"/>
      <c r="I446" s="178"/>
      <c r="J446" s="178"/>
      <c r="K446" s="178"/>
      <c r="L446" s="178"/>
      <c r="M446" s="178"/>
      <c r="N446" s="178"/>
      <c r="O446" s="178"/>
      <c r="P446" s="178"/>
      <c r="Q446" s="178"/>
      <c r="R446" s="178"/>
      <c r="S446" s="178"/>
      <c r="T446" s="178"/>
      <c r="U446" s="178"/>
      <c r="V446" s="178"/>
      <c r="W446" s="178"/>
      <c r="X446" s="178"/>
      <c r="Y446" s="178"/>
      <c r="Z446" s="178"/>
      <c r="AA446" s="178"/>
    </row>
    <row r="447" spans="1:27" s="183" customFormat="1" ht="13.2">
      <c r="A447" s="178"/>
      <c r="B447" s="179">
        <v>531</v>
      </c>
      <c r="C447" s="180"/>
      <c r="D447" s="181" t="s">
        <v>241</v>
      </c>
      <c r="E447" s="181" t="s">
        <v>1224</v>
      </c>
      <c r="F447" s="181" t="s">
        <v>1224</v>
      </c>
      <c r="G447" s="178"/>
      <c r="H447" s="178"/>
      <c r="I447" s="178"/>
      <c r="J447" s="178"/>
      <c r="K447" s="178"/>
      <c r="L447" s="178"/>
      <c r="M447" s="178"/>
      <c r="N447" s="178"/>
      <c r="O447" s="178"/>
      <c r="P447" s="178"/>
      <c r="Q447" s="178"/>
      <c r="R447" s="178"/>
      <c r="S447" s="178"/>
      <c r="T447" s="178"/>
      <c r="U447" s="178"/>
      <c r="V447" s="178"/>
      <c r="W447" s="178"/>
      <c r="X447" s="178"/>
      <c r="Y447" s="178"/>
      <c r="Z447" s="178"/>
      <c r="AA447" s="178"/>
    </row>
    <row r="448" spans="1:27" s="183" customFormat="1" ht="39.6">
      <c r="A448" s="178"/>
      <c r="B448" s="179">
        <v>532</v>
      </c>
      <c r="C448" s="180"/>
      <c r="D448" s="181" t="s">
        <v>242</v>
      </c>
      <c r="E448" s="181" t="s">
        <v>1225</v>
      </c>
      <c r="F448" s="181" t="s">
        <v>1225</v>
      </c>
      <c r="G448" s="178"/>
      <c r="H448" s="178"/>
      <c r="I448" s="178"/>
      <c r="J448" s="178"/>
      <c r="K448" s="178"/>
      <c r="L448" s="178"/>
      <c r="M448" s="178"/>
      <c r="N448" s="178"/>
      <c r="O448" s="178"/>
      <c r="P448" s="178"/>
      <c r="Q448" s="178"/>
      <c r="R448" s="178"/>
      <c r="S448" s="178"/>
      <c r="T448" s="178"/>
      <c r="U448" s="178"/>
      <c r="V448" s="178"/>
      <c r="W448" s="178"/>
      <c r="X448" s="178"/>
      <c r="Y448" s="178"/>
      <c r="Z448" s="178"/>
      <c r="AA448" s="178"/>
    </row>
    <row r="449" spans="1:27" s="183" customFormat="1" ht="13.2">
      <c r="A449" s="178"/>
      <c r="B449" s="179">
        <v>533</v>
      </c>
      <c r="C449" s="180"/>
      <c r="D449" s="181" t="s">
        <v>243</v>
      </c>
      <c r="E449" s="181" t="s">
        <v>1226</v>
      </c>
      <c r="F449" s="181" t="s">
        <v>1226</v>
      </c>
      <c r="G449" s="178"/>
      <c r="H449" s="178"/>
      <c r="I449" s="178"/>
      <c r="J449" s="178"/>
      <c r="K449" s="178"/>
      <c r="L449" s="178"/>
      <c r="M449" s="178"/>
      <c r="N449" s="178"/>
      <c r="O449" s="178"/>
      <c r="P449" s="178"/>
      <c r="Q449" s="178"/>
      <c r="R449" s="178"/>
      <c r="S449" s="178"/>
      <c r="T449" s="178"/>
      <c r="U449" s="178"/>
      <c r="V449" s="178"/>
      <c r="W449" s="178"/>
      <c r="X449" s="178"/>
      <c r="Y449" s="178"/>
      <c r="Z449" s="178"/>
      <c r="AA449" s="178"/>
    </row>
    <row r="450" spans="1:27" s="183" customFormat="1" ht="24">
      <c r="A450" s="178"/>
      <c r="B450" s="179">
        <v>534</v>
      </c>
      <c r="C450" s="180"/>
      <c r="D450" s="181" t="s">
        <v>244</v>
      </c>
      <c r="E450" s="181" t="s">
        <v>1227</v>
      </c>
      <c r="F450" s="181" t="s">
        <v>1227</v>
      </c>
      <c r="G450" s="178"/>
      <c r="H450" s="178"/>
      <c r="I450" s="178"/>
      <c r="J450" s="178"/>
      <c r="K450" s="178"/>
      <c r="L450" s="178"/>
      <c r="M450" s="178"/>
      <c r="N450" s="178"/>
      <c r="O450" s="178"/>
      <c r="P450" s="178"/>
      <c r="Q450" s="178"/>
      <c r="R450" s="178"/>
      <c r="S450" s="178"/>
      <c r="T450" s="178"/>
      <c r="U450" s="178"/>
      <c r="V450" s="178"/>
      <c r="W450" s="178"/>
      <c r="X450" s="178"/>
      <c r="Y450" s="178"/>
      <c r="Z450" s="178"/>
      <c r="AA450" s="178"/>
    </row>
    <row r="451" spans="1:27" s="183" customFormat="1" ht="24">
      <c r="A451" s="178"/>
      <c r="B451" s="179">
        <v>535</v>
      </c>
      <c r="C451" s="180"/>
      <c r="D451" s="181" t="s">
        <v>245</v>
      </c>
      <c r="E451" s="181" t="s">
        <v>1228</v>
      </c>
      <c r="F451" s="181" t="s">
        <v>1228</v>
      </c>
      <c r="G451" s="178"/>
      <c r="H451" s="178"/>
      <c r="I451" s="178"/>
      <c r="J451" s="178"/>
      <c r="K451" s="178"/>
      <c r="L451" s="178"/>
      <c r="M451" s="178"/>
      <c r="N451" s="178"/>
      <c r="O451" s="178"/>
      <c r="P451" s="178"/>
      <c r="Q451" s="178"/>
      <c r="R451" s="178"/>
      <c r="S451" s="178"/>
      <c r="T451" s="178"/>
      <c r="U451" s="178"/>
      <c r="V451" s="178"/>
      <c r="W451" s="178"/>
      <c r="X451" s="178"/>
      <c r="Y451" s="178"/>
      <c r="Z451" s="178"/>
      <c r="AA451" s="178"/>
    </row>
    <row r="452" spans="1:27" s="183" customFormat="1" ht="26.4">
      <c r="A452" s="178"/>
      <c r="B452" s="179">
        <v>536</v>
      </c>
      <c r="C452" s="180"/>
      <c r="D452" s="181" t="s">
        <v>246</v>
      </c>
      <c r="E452" s="181" t="s">
        <v>1229</v>
      </c>
      <c r="F452" s="181" t="s">
        <v>1229</v>
      </c>
      <c r="G452" s="178"/>
      <c r="H452" s="178"/>
      <c r="I452" s="178"/>
      <c r="J452" s="178"/>
      <c r="K452" s="178"/>
      <c r="L452" s="178"/>
      <c r="M452" s="178"/>
      <c r="N452" s="178"/>
      <c r="O452" s="178"/>
      <c r="P452" s="178"/>
      <c r="Q452" s="178"/>
      <c r="R452" s="178"/>
      <c r="S452" s="178"/>
      <c r="T452" s="178"/>
      <c r="U452" s="178"/>
      <c r="V452" s="178"/>
      <c r="W452" s="178"/>
      <c r="X452" s="178"/>
      <c r="Y452" s="178"/>
      <c r="Z452" s="178"/>
      <c r="AA452" s="178"/>
    </row>
    <row r="453" spans="1:27" s="183" customFormat="1" ht="13.2">
      <c r="A453" s="178"/>
      <c r="B453" s="179">
        <v>537</v>
      </c>
      <c r="C453" s="180"/>
      <c r="D453" s="181" t="s">
        <v>247</v>
      </c>
      <c r="E453" s="181" t="s">
        <v>1230</v>
      </c>
      <c r="F453" s="181" t="s">
        <v>1230</v>
      </c>
      <c r="G453" s="178"/>
      <c r="H453" s="178"/>
      <c r="I453" s="178"/>
      <c r="J453" s="178"/>
      <c r="K453" s="178"/>
      <c r="L453" s="178"/>
      <c r="M453" s="178"/>
      <c r="N453" s="178"/>
      <c r="O453" s="178"/>
      <c r="P453" s="178"/>
      <c r="Q453" s="178"/>
      <c r="R453" s="178"/>
      <c r="S453" s="178"/>
      <c r="T453" s="178"/>
      <c r="U453" s="178"/>
      <c r="V453" s="178"/>
      <c r="W453" s="178"/>
      <c r="X453" s="178"/>
      <c r="Y453" s="178"/>
      <c r="Z453" s="178"/>
      <c r="AA453" s="178"/>
    </row>
    <row r="454" spans="1:27" s="183" customFormat="1" ht="13.2">
      <c r="A454" s="178"/>
      <c r="B454" s="179">
        <v>538</v>
      </c>
      <c r="C454" s="180"/>
      <c r="D454" s="181" t="s">
        <v>248</v>
      </c>
      <c r="E454" s="181" t="s">
        <v>1231</v>
      </c>
      <c r="F454" s="181" t="s">
        <v>1231</v>
      </c>
      <c r="G454" s="178"/>
      <c r="H454" s="178"/>
      <c r="I454" s="178"/>
      <c r="J454" s="178"/>
      <c r="K454" s="178"/>
      <c r="L454" s="178"/>
      <c r="M454" s="178"/>
      <c r="N454" s="178"/>
      <c r="O454" s="178"/>
      <c r="P454" s="178"/>
      <c r="Q454" s="178"/>
      <c r="R454" s="178"/>
      <c r="S454" s="178"/>
      <c r="T454" s="178"/>
      <c r="U454" s="178"/>
      <c r="V454" s="178"/>
      <c r="W454" s="178"/>
      <c r="X454" s="178"/>
      <c r="Y454" s="178"/>
      <c r="Z454" s="178"/>
      <c r="AA454" s="178"/>
    </row>
    <row r="455" spans="1:27" s="183" customFormat="1" ht="24">
      <c r="A455" s="178"/>
      <c r="B455" s="179">
        <v>539</v>
      </c>
      <c r="C455" s="180"/>
      <c r="D455" s="181" t="s">
        <v>249</v>
      </c>
      <c r="E455" s="181" t="s">
        <v>1232</v>
      </c>
      <c r="F455" s="181" t="s">
        <v>1232</v>
      </c>
      <c r="G455" s="178"/>
      <c r="H455" s="178"/>
      <c r="I455" s="178"/>
      <c r="J455" s="178"/>
      <c r="K455" s="178"/>
      <c r="L455" s="178"/>
      <c r="M455" s="178"/>
      <c r="N455" s="178"/>
      <c r="O455" s="178"/>
      <c r="P455" s="178"/>
      <c r="Q455" s="178"/>
      <c r="R455" s="178"/>
      <c r="S455" s="178"/>
      <c r="T455" s="178"/>
      <c r="U455" s="178"/>
      <c r="V455" s="178"/>
      <c r="W455" s="178"/>
      <c r="X455" s="178"/>
      <c r="Y455" s="178"/>
      <c r="Z455" s="178"/>
      <c r="AA455" s="178"/>
    </row>
    <row r="456" spans="1:27" s="183" customFormat="1" ht="13.2">
      <c r="A456" s="178"/>
      <c r="B456" s="179">
        <v>540</v>
      </c>
      <c r="C456" s="180"/>
      <c r="D456" s="181" t="s">
        <v>250</v>
      </c>
      <c r="E456" s="181" t="s">
        <v>1233</v>
      </c>
      <c r="F456" s="181" t="s">
        <v>1233</v>
      </c>
      <c r="G456" s="178"/>
      <c r="H456" s="178"/>
      <c r="I456" s="178"/>
      <c r="J456" s="178"/>
      <c r="K456" s="178"/>
      <c r="L456" s="178"/>
      <c r="M456" s="178"/>
      <c r="N456" s="178"/>
      <c r="O456" s="178"/>
      <c r="P456" s="178"/>
      <c r="Q456" s="178"/>
      <c r="R456" s="178"/>
      <c r="S456" s="178"/>
      <c r="T456" s="178"/>
      <c r="U456" s="178"/>
      <c r="V456" s="178"/>
      <c r="W456" s="178"/>
      <c r="X456" s="178"/>
      <c r="Y456" s="178"/>
      <c r="Z456" s="178"/>
      <c r="AA456" s="178"/>
    </row>
    <row r="457" spans="1:27" ht="13.2">
      <c r="B457" s="179">
        <v>541</v>
      </c>
      <c r="D457" s="181" t="s">
        <v>251</v>
      </c>
      <c r="E457" s="181" t="s">
        <v>1234</v>
      </c>
      <c r="F457" s="181" t="s">
        <v>1234</v>
      </c>
    </row>
    <row r="458" spans="1:27" ht="13.2">
      <c r="B458" s="179">
        <v>542</v>
      </c>
      <c r="D458" s="181" t="s">
        <v>252</v>
      </c>
      <c r="E458" s="181" t="s">
        <v>1235</v>
      </c>
      <c r="F458" s="181" t="s">
        <v>1235</v>
      </c>
    </row>
    <row r="459" spans="1:27" ht="24">
      <c r="B459" s="179">
        <v>543</v>
      </c>
      <c r="D459" s="181" t="s">
        <v>400</v>
      </c>
      <c r="E459" s="181" t="s">
        <v>1236</v>
      </c>
      <c r="F459" s="181" t="s">
        <v>1236</v>
      </c>
    </row>
    <row r="460" spans="1:27" ht="48">
      <c r="A460" s="182"/>
      <c r="B460" s="179">
        <v>544</v>
      </c>
      <c r="C460" s="188" t="s">
        <v>432</v>
      </c>
      <c r="D460" s="182" t="s">
        <v>445</v>
      </c>
      <c r="E460" s="182" t="s">
        <v>1237</v>
      </c>
      <c r="F460" s="182" t="s">
        <v>1237</v>
      </c>
    </row>
    <row r="461" spans="1:27" ht="39.6">
      <c r="B461" s="179">
        <v>545</v>
      </c>
      <c r="D461" s="181" t="s">
        <v>253</v>
      </c>
      <c r="E461" s="181" t="s">
        <v>1238</v>
      </c>
      <c r="F461" s="181" t="s">
        <v>1238</v>
      </c>
    </row>
    <row r="462" spans="1:27" ht="13.2">
      <c r="B462" s="179">
        <v>546</v>
      </c>
      <c r="D462" s="181" t="s">
        <v>254</v>
      </c>
      <c r="E462" s="181" t="s">
        <v>1239</v>
      </c>
      <c r="F462" s="181" t="s">
        <v>1239</v>
      </c>
    </row>
    <row r="463" spans="1:27" ht="13.2">
      <c r="B463" s="179">
        <v>547</v>
      </c>
      <c r="D463" s="181" t="s">
        <v>255</v>
      </c>
      <c r="E463" s="181" t="s">
        <v>1240</v>
      </c>
      <c r="F463" s="181" t="s">
        <v>1240</v>
      </c>
    </row>
    <row r="464" spans="1:27" ht="13.2">
      <c r="B464" s="179">
        <v>548</v>
      </c>
      <c r="D464" s="181" t="s">
        <v>256</v>
      </c>
      <c r="E464" s="181" t="s">
        <v>1241</v>
      </c>
      <c r="F464" s="181" t="s">
        <v>1241</v>
      </c>
    </row>
    <row r="465" spans="2:6" ht="24">
      <c r="B465" s="179">
        <v>549</v>
      </c>
      <c r="D465" s="181" t="s">
        <v>483</v>
      </c>
      <c r="E465" s="181" t="s">
        <v>1242</v>
      </c>
      <c r="F465" s="181" t="s">
        <v>1242</v>
      </c>
    </row>
    <row r="466" spans="2:6" ht="13.2">
      <c r="B466" s="179">
        <v>550</v>
      </c>
      <c r="D466" s="181" t="s">
        <v>257</v>
      </c>
      <c r="E466" s="181" t="s">
        <v>1243</v>
      </c>
      <c r="F466" s="181" t="s">
        <v>1243</v>
      </c>
    </row>
    <row r="467" spans="2:6" ht="13.2">
      <c r="B467" s="179">
        <v>551</v>
      </c>
      <c r="D467" s="181" t="s">
        <v>258</v>
      </c>
      <c r="E467" s="181" t="s">
        <v>1244</v>
      </c>
      <c r="F467" s="181" t="s">
        <v>1244</v>
      </c>
    </row>
    <row r="468" spans="2:6" ht="13.2">
      <c r="B468" s="179">
        <v>552</v>
      </c>
      <c r="D468" s="181" t="s">
        <v>259</v>
      </c>
      <c r="E468" s="181" t="s">
        <v>1245</v>
      </c>
      <c r="F468" s="181" t="s">
        <v>1245</v>
      </c>
    </row>
    <row r="469" spans="2:6" ht="24">
      <c r="B469" s="179">
        <v>553</v>
      </c>
      <c r="D469" s="181" t="s">
        <v>610</v>
      </c>
      <c r="E469" s="181" t="s">
        <v>1246</v>
      </c>
      <c r="F469" s="181" t="s">
        <v>1246</v>
      </c>
    </row>
    <row r="470" spans="2:6" ht="13.2">
      <c r="B470" s="179">
        <v>554</v>
      </c>
      <c r="D470" s="181" t="s">
        <v>611</v>
      </c>
      <c r="E470" s="181" t="s">
        <v>1247</v>
      </c>
      <c r="F470" s="181" t="s">
        <v>1247</v>
      </c>
    </row>
    <row r="471" spans="2:6" ht="13.2">
      <c r="B471" s="179">
        <v>555</v>
      </c>
      <c r="D471" s="181" t="s">
        <v>260</v>
      </c>
      <c r="E471" s="181" t="s">
        <v>1248</v>
      </c>
      <c r="F471" s="181" t="s">
        <v>1248</v>
      </c>
    </row>
    <row r="472" spans="2:6" ht="13.2">
      <c r="B472" s="179">
        <v>556</v>
      </c>
      <c r="D472" s="181" t="s">
        <v>401</v>
      </c>
      <c r="E472" s="181" t="s">
        <v>1249</v>
      </c>
      <c r="F472" s="181" t="s">
        <v>1249</v>
      </c>
    </row>
    <row r="473" spans="2:6" ht="24">
      <c r="B473" s="179">
        <v>557</v>
      </c>
      <c r="D473" s="181" t="s">
        <v>261</v>
      </c>
      <c r="E473" s="181" t="s">
        <v>1250</v>
      </c>
      <c r="F473" s="181" t="s">
        <v>1250</v>
      </c>
    </row>
    <row r="474" spans="2:6" ht="24">
      <c r="B474" s="179">
        <v>558</v>
      </c>
      <c r="D474" s="181" t="s">
        <v>402</v>
      </c>
      <c r="E474" s="181" t="s">
        <v>1251</v>
      </c>
      <c r="F474" s="181" t="s">
        <v>1251</v>
      </c>
    </row>
    <row r="475" spans="2:6" ht="26.4">
      <c r="B475" s="179">
        <v>559</v>
      </c>
      <c r="D475" s="181" t="s">
        <v>262</v>
      </c>
      <c r="E475" s="181" t="s">
        <v>1252</v>
      </c>
      <c r="F475" s="181" t="s">
        <v>1252</v>
      </c>
    </row>
    <row r="476" spans="2:6" ht="13.2">
      <c r="B476" s="179">
        <v>560</v>
      </c>
      <c r="D476" s="181" t="s">
        <v>263</v>
      </c>
      <c r="E476" s="181" t="s">
        <v>1253</v>
      </c>
      <c r="F476" s="181" t="s">
        <v>1253</v>
      </c>
    </row>
    <row r="477" spans="2:6" ht="13.2">
      <c r="B477" s="179">
        <v>561</v>
      </c>
      <c r="C477" s="180" t="s">
        <v>488</v>
      </c>
      <c r="D477" s="181" t="s">
        <v>487</v>
      </c>
      <c r="E477" s="181" t="s">
        <v>1254</v>
      </c>
      <c r="F477" s="181" t="s">
        <v>1254</v>
      </c>
    </row>
    <row r="478" spans="2:6" ht="26.4">
      <c r="B478" s="179">
        <v>562</v>
      </c>
      <c r="C478" s="180" t="s">
        <v>488</v>
      </c>
      <c r="D478" s="181" t="s">
        <v>484</v>
      </c>
      <c r="E478" s="181" t="s">
        <v>1255</v>
      </c>
      <c r="F478" s="181" t="s">
        <v>1255</v>
      </c>
    </row>
    <row r="479" spans="2:6" ht="13.2">
      <c r="B479" s="179">
        <v>563</v>
      </c>
      <c r="D479" s="181" t="s">
        <v>264</v>
      </c>
      <c r="E479" s="181" t="s">
        <v>1256</v>
      </c>
      <c r="F479" s="181" t="s">
        <v>1256</v>
      </c>
    </row>
    <row r="480" spans="2:6" ht="13.2">
      <c r="B480" s="179">
        <v>564</v>
      </c>
      <c r="D480" s="181" t="s">
        <v>265</v>
      </c>
      <c r="E480" s="181" t="s">
        <v>1257</v>
      </c>
      <c r="F480" s="181" t="s">
        <v>1257</v>
      </c>
    </row>
    <row r="481" spans="2:6" ht="36">
      <c r="B481" s="179">
        <v>565</v>
      </c>
      <c r="D481" s="181" t="s">
        <v>332</v>
      </c>
      <c r="E481" s="181" t="s">
        <v>1258</v>
      </c>
      <c r="F481" s="181" t="s">
        <v>1258</v>
      </c>
    </row>
    <row r="482" spans="2:6" ht="13.2">
      <c r="B482" s="179">
        <v>566</v>
      </c>
      <c r="D482" s="181" t="s">
        <v>266</v>
      </c>
      <c r="E482" s="181" t="s">
        <v>1259</v>
      </c>
      <c r="F482" s="181" t="s">
        <v>1259</v>
      </c>
    </row>
    <row r="483" spans="2:6" ht="13.2">
      <c r="B483" s="179">
        <v>567</v>
      </c>
      <c r="D483" s="181" t="s">
        <v>267</v>
      </c>
      <c r="E483" s="181" t="s">
        <v>1260</v>
      </c>
      <c r="F483" s="181" t="s">
        <v>1260</v>
      </c>
    </row>
    <row r="484" spans="2:6" ht="13.2">
      <c r="B484" s="179">
        <v>568</v>
      </c>
      <c r="D484" s="181" t="s">
        <v>268</v>
      </c>
      <c r="E484" s="181" t="s">
        <v>1261</v>
      </c>
      <c r="F484" s="181" t="s">
        <v>1261</v>
      </c>
    </row>
    <row r="485" spans="2:6" ht="13.2">
      <c r="B485" s="179">
        <v>569</v>
      </c>
      <c r="D485" s="181" t="s">
        <v>269</v>
      </c>
      <c r="E485" s="181" t="s">
        <v>1262</v>
      </c>
      <c r="F485" s="181" t="s">
        <v>1262</v>
      </c>
    </row>
    <row r="486" spans="2:6" ht="13.2">
      <c r="B486" s="179">
        <v>570</v>
      </c>
      <c r="D486" s="181" t="s">
        <v>270</v>
      </c>
      <c r="E486" s="181" t="s">
        <v>1263</v>
      </c>
      <c r="F486" s="181" t="s">
        <v>1263</v>
      </c>
    </row>
    <row r="487" spans="2:6" ht="36">
      <c r="B487" s="179">
        <v>571</v>
      </c>
      <c r="D487" s="181" t="s">
        <v>271</v>
      </c>
      <c r="E487" s="181" t="s">
        <v>1264</v>
      </c>
      <c r="F487" s="181" t="s">
        <v>1264</v>
      </c>
    </row>
    <row r="488" spans="2:6" ht="13.2">
      <c r="B488" s="179">
        <v>572</v>
      </c>
      <c r="D488" s="181" t="s">
        <v>272</v>
      </c>
      <c r="E488" s="181" t="s">
        <v>1265</v>
      </c>
      <c r="F488" s="181" t="s">
        <v>1265</v>
      </c>
    </row>
    <row r="489" spans="2:6" ht="13.2">
      <c r="B489" s="179">
        <v>573</v>
      </c>
      <c r="D489" s="181" t="s">
        <v>273</v>
      </c>
      <c r="E489" s="181" t="s">
        <v>1266</v>
      </c>
      <c r="F489" s="181" t="s">
        <v>1266</v>
      </c>
    </row>
    <row r="490" spans="2:6" ht="13.2">
      <c r="B490" s="179">
        <v>574</v>
      </c>
      <c r="D490" s="181" t="s">
        <v>274</v>
      </c>
      <c r="E490" s="181" t="s">
        <v>1267</v>
      </c>
      <c r="F490" s="181" t="s">
        <v>1267</v>
      </c>
    </row>
    <row r="491" spans="2:6" ht="26.4">
      <c r="B491" s="179">
        <v>575</v>
      </c>
      <c r="D491" s="181" t="s">
        <v>403</v>
      </c>
      <c r="E491" s="181" t="s">
        <v>1268</v>
      </c>
      <c r="F491" s="181" t="s">
        <v>1268</v>
      </c>
    </row>
    <row r="492" spans="2:6" ht="13.2">
      <c r="B492" s="179">
        <v>576</v>
      </c>
      <c r="D492" s="181" t="s">
        <v>275</v>
      </c>
      <c r="E492" s="181" t="s">
        <v>1269</v>
      </c>
      <c r="F492" s="181" t="s">
        <v>1269</v>
      </c>
    </row>
    <row r="493" spans="2:6" ht="13.2">
      <c r="B493" s="179">
        <v>577</v>
      </c>
      <c r="D493" s="181" t="s">
        <v>276</v>
      </c>
      <c r="E493" s="181" t="s">
        <v>1270</v>
      </c>
      <c r="F493" s="181" t="s">
        <v>1270</v>
      </c>
    </row>
    <row r="494" spans="2:6" ht="13.2">
      <c r="B494" s="179">
        <v>578</v>
      </c>
      <c r="D494" s="181" t="s">
        <v>616</v>
      </c>
      <c r="E494" s="181" t="s">
        <v>1271</v>
      </c>
      <c r="F494" s="181" t="s">
        <v>1271</v>
      </c>
    </row>
    <row r="495" spans="2:6" ht="13.2">
      <c r="B495" s="179">
        <v>579</v>
      </c>
      <c r="D495" s="181" t="s">
        <v>614</v>
      </c>
      <c r="E495" s="181" t="s">
        <v>1272</v>
      </c>
      <c r="F495" s="181" t="s">
        <v>1272</v>
      </c>
    </row>
    <row r="496" spans="2:6" ht="13.2">
      <c r="B496" s="179">
        <v>580</v>
      </c>
      <c r="D496" s="181" t="s">
        <v>277</v>
      </c>
      <c r="E496" s="181" t="s">
        <v>1273</v>
      </c>
      <c r="F496" s="181" t="s">
        <v>1273</v>
      </c>
    </row>
    <row r="497" spans="1:6" ht="13.2">
      <c r="B497" s="179">
        <v>581</v>
      </c>
      <c r="D497" s="181" t="s">
        <v>404</v>
      </c>
      <c r="E497" s="181" t="s">
        <v>1274</v>
      </c>
      <c r="F497" s="181" t="s">
        <v>1274</v>
      </c>
    </row>
    <row r="498" spans="1:6" ht="39.6">
      <c r="B498" s="179">
        <v>582</v>
      </c>
      <c r="D498" s="181" t="s">
        <v>405</v>
      </c>
      <c r="E498" s="181" t="s">
        <v>1275</v>
      </c>
      <c r="F498" s="181" t="s">
        <v>1275</v>
      </c>
    </row>
    <row r="499" spans="1:6" ht="13.2">
      <c r="B499" s="179">
        <v>583</v>
      </c>
      <c r="D499" s="181" t="s">
        <v>278</v>
      </c>
      <c r="E499" s="181" t="s">
        <v>1276</v>
      </c>
      <c r="F499" s="181" t="s">
        <v>1276</v>
      </c>
    </row>
    <row r="500" spans="1:6" ht="13.2">
      <c r="B500" s="179">
        <v>584</v>
      </c>
      <c r="D500" s="181" t="s">
        <v>279</v>
      </c>
      <c r="E500" s="181" t="s">
        <v>1277</v>
      </c>
      <c r="F500" s="181" t="s">
        <v>1277</v>
      </c>
    </row>
    <row r="501" spans="1:6" ht="13.2">
      <c r="B501" s="179">
        <v>585</v>
      </c>
      <c r="C501" s="180" t="s">
        <v>470</v>
      </c>
      <c r="D501" s="178" t="s">
        <v>465</v>
      </c>
      <c r="E501" s="186" t="s">
        <v>1278</v>
      </c>
      <c r="F501" s="186" t="s">
        <v>1278</v>
      </c>
    </row>
    <row r="502" spans="1:6" ht="13.2">
      <c r="B502" s="179">
        <v>586</v>
      </c>
      <c r="C502" s="180" t="s">
        <v>470</v>
      </c>
      <c r="D502" s="181" t="s">
        <v>463</v>
      </c>
      <c r="E502" s="186" t="s">
        <v>1279</v>
      </c>
      <c r="F502" s="186" t="s">
        <v>1279</v>
      </c>
    </row>
    <row r="503" spans="1:6" ht="13.2">
      <c r="B503" s="179">
        <v>587</v>
      </c>
      <c r="D503" s="181" t="s">
        <v>280</v>
      </c>
      <c r="E503" s="181" t="s">
        <v>1280</v>
      </c>
      <c r="F503" s="181" t="s">
        <v>1280</v>
      </c>
    </row>
    <row r="504" spans="1:6" ht="39.6">
      <c r="B504" s="179">
        <v>588</v>
      </c>
      <c r="D504" s="181" t="s">
        <v>281</v>
      </c>
      <c r="E504" s="181" t="s">
        <v>1281</v>
      </c>
      <c r="F504" s="181" t="s">
        <v>1281</v>
      </c>
    </row>
    <row r="505" spans="1:6" ht="13.2">
      <c r="B505" s="179">
        <v>589</v>
      </c>
      <c r="D505" s="181" t="s">
        <v>282</v>
      </c>
      <c r="E505" s="181" t="s">
        <v>1282</v>
      </c>
      <c r="F505" s="181" t="s">
        <v>1282</v>
      </c>
    </row>
    <row r="506" spans="1:6" ht="13.2">
      <c r="A506" s="183"/>
      <c r="B506" s="179">
        <v>590</v>
      </c>
      <c r="C506" s="184" t="s">
        <v>414</v>
      </c>
      <c r="D506" s="182" t="s">
        <v>420</v>
      </c>
      <c r="E506" s="182" t="s">
        <v>1283</v>
      </c>
      <c r="F506" s="182" t="s">
        <v>1283</v>
      </c>
    </row>
    <row r="507" spans="1:6" ht="13.2">
      <c r="A507" s="183"/>
      <c r="B507" s="179">
        <v>591</v>
      </c>
      <c r="C507" s="184" t="s">
        <v>414</v>
      </c>
      <c r="D507" s="182" t="s">
        <v>446</v>
      </c>
      <c r="E507" s="182" t="s">
        <v>1284</v>
      </c>
      <c r="F507" s="182" t="s">
        <v>1284</v>
      </c>
    </row>
    <row r="508" spans="1:6" ht="13.2">
      <c r="B508" s="179">
        <v>592</v>
      </c>
      <c r="D508" s="181" t="s">
        <v>283</v>
      </c>
      <c r="E508" s="182" t="s">
        <v>1285</v>
      </c>
      <c r="F508" s="182" t="s">
        <v>1285</v>
      </c>
    </row>
    <row r="509" spans="1:6" ht="13.2">
      <c r="B509" s="179">
        <v>593</v>
      </c>
      <c r="D509" s="181" t="s">
        <v>284</v>
      </c>
      <c r="E509" s="181" t="s">
        <v>1286</v>
      </c>
      <c r="F509" s="181" t="s">
        <v>1286</v>
      </c>
    </row>
    <row r="510" spans="1:6" ht="13.2">
      <c r="B510" s="179">
        <v>594</v>
      </c>
      <c r="D510" s="181" t="s">
        <v>285</v>
      </c>
      <c r="E510" s="181" t="s">
        <v>1287</v>
      </c>
      <c r="F510" s="181" t="s">
        <v>1287</v>
      </c>
    </row>
    <row r="511" spans="1:6" ht="24">
      <c r="B511" s="179">
        <v>595</v>
      </c>
      <c r="D511" s="181" t="s">
        <v>286</v>
      </c>
      <c r="E511" s="181" t="s">
        <v>1288</v>
      </c>
      <c r="F511" s="181" t="s">
        <v>1288</v>
      </c>
    </row>
    <row r="512" spans="1:6" ht="13.2">
      <c r="B512" s="179">
        <v>596</v>
      </c>
      <c r="D512" s="181" t="s">
        <v>287</v>
      </c>
      <c r="E512" s="181" t="s">
        <v>1289</v>
      </c>
      <c r="F512" s="181" t="s">
        <v>1289</v>
      </c>
    </row>
    <row r="513" spans="2:6" ht="36">
      <c r="B513" s="179">
        <v>597</v>
      </c>
      <c r="D513" s="181" t="s">
        <v>288</v>
      </c>
      <c r="E513" s="181" t="s">
        <v>1290</v>
      </c>
      <c r="F513" s="181" t="s">
        <v>1290</v>
      </c>
    </row>
    <row r="514" spans="2:6" ht="13.2">
      <c r="B514" s="179">
        <v>598</v>
      </c>
      <c r="D514" s="181" t="s">
        <v>289</v>
      </c>
      <c r="E514" s="181" t="s">
        <v>1291</v>
      </c>
      <c r="F514" s="181" t="s">
        <v>1291</v>
      </c>
    </row>
    <row r="515" spans="2:6" ht="13.2">
      <c r="B515" s="179">
        <v>599</v>
      </c>
      <c r="D515" s="181" t="s">
        <v>290</v>
      </c>
      <c r="E515" s="181" t="s">
        <v>1292</v>
      </c>
      <c r="F515" s="181" t="s">
        <v>1292</v>
      </c>
    </row>
    <row r="516" spans="2:6" ht="13.2">
      <c r="B516" s="179">
        <v>600</v>
      </c>
      <c r="D516" s="181" t="s">
        <v>291</v>
      </c>
      <c r="E516" s="181" t="s">
        <v>1293</v>
      </c>
      <c r="F516" s="181" t="s">
        <v>1293</v>
      </c>
    </row>
    <row r="517" spans="2:6" ht="13.2">
      <c r="B517" s="179">
        <v>601</v>
      </c>
      <c r="D517" s="181" t="s">
        <v>292</v>
      </c>
      <c r="E517" s="181" t="s">
        <v>1294</v>
      </c>
      <c r="F517" s="181" t="s">
        <v>1294</v>
      </c>
    </row>
    <row r="518" spans="2:6" ht="13.2">
      <c r="B518" s="179">
        <v>602</v>
      </c>
      <c r="D518" s="181" t="s">
        <v>293</v>
      </c>
      <c r="E518" s="181" t="s">
        <v>1295</v>
      </c>
      <c r="F518" s="181" t="s">
        <v>1295</v>
      </c>
    </row>
    <row r="519" spans="2:6" ht="13.2">
      <c r="B519" s="179">
        <v>603</v>
      </c>
      <c r="D519" s="181" t="s">
        <v>294</v>
      </c>
      <c r="E519" s="181" t="s">
        <v>1296</v>
      </c>
      <c r="F519" s="181" t="s">
        <v>1296</v>
      </c>
    </row>
    <row r="520" spans="2:6">
      <c r="B520" s="179">
        <v>604</v>
      </c>
      <c r="D520" s="181" t="s">
        <v>295</v>
      </c>
      <c r="E520" s="181" t="s">
        <v>295</v>
      </c>
      <c r="F520" s="181" t="s">
        <v>295</v>
      </c>
    </row>
    <row r="521" spans="2:6" ht="13.2">
      <c r="B521" s="179">
        <v>605</v>
      </c>
      <c r="D521" s="181" t="s">
        <v>406</v>
      </c>
      <c r="E521" s="181" t="s">
        <v>1297</v>
      </c>
      <c r="F521" s="181" t="s">
        <v>1297</v>
      </c>
    </row>
    <row r="522" spans="2:6" ht="26.4">
      <c r="B522" s="179">
        <v>606</v>
      </c>
      <c r="D522" s="181" t="s">
        <v>296</v>
      </c>
      <c r="E522" s="181" t="s">
        <v>1298</v>
      </c>
      <c r="F522" s="181" t="s">
        <v>1298</v>
      </c>
    </row>
    <row r="523" spans="2:6">
      <c r="B523" s="179">
        <v>607</v>
      </c>
      <c r="D523" s="181" t="s">
        <v>297</v>
      </c>
      <c r="E523" s="181" t="s">
        <v>297</v>
      </c>
      <c r="F523" s="181" t="s">
        <v>297</v>
      </c>
    </row>
    <row r="524" spans="2:6" ht="13.2">
      <c r="B524" s="179">
        <v>608</v>
      </c>
      <c r="D524" s="181" t="s">
        <v>599</v>
      </c>
      <c r="E524" s="181" t="s">
        <v>1299</v>
      </c>
      <c r="F524" s="181" t="s">
        <v>1299</v>
      </c>
    </row>
    <row r="525" spans="2:6" ht="13.2">
      <c r="B525" s="179">
        <v>609</v>
      </c>
      <c r="D525" s="181" t="s">
        <v>598</v>
      </c>
      <c r="E525" s="181" t="s">
        <v>1300</v>
      </c>
      <c r="F525" s="181" t="s">
        <v>1300</v>
      </c>
    </row>
    <row r="526" spans="2:6">
      <c r="B526" s="179">
        <v>610</v>
      </c>
      <c r="D526" s="181" t="s">
        <v>407</v>
      </c>
      <c r="F526" s="181"/>
    </row>
    <row r="527" spans="2:6" ht="13.2">
      <c r="B527" s="179">
        <v>611</v>
      </c>
      <c r="D527" s="181" t="s">
        <v>298</v>
      </c>
      <c r="E527" s="181" t="s">
        <v>1301</v>
      </c>
      <c r="F527" s="181" t="s">
        <v>1301</v>
      </c>
    </row>
    <row r="528" spans="2:6" ht="13.2">
      <c r="B528" s="179">
        <v>612</v>
      </c>
      <c r="C528" s="180" t="s">
        <v>488</v>
      </c>
      <c r="D528" s="181" t="s">
        <v>490</v>
      </c>
      <c r="E528" s="181" t="s">
        <v>1302</v>
      </c>
      <c r="F528" s="181" t="s">
        <v>1302</v>
      </c>
    </row>
    <row r="529" spans="2:6" ht="13.2">
      <c r="B529" s="179">
        <v>613</v>
      </c>
      <c r="D529" s="181" t="s">
        <v>408</v>
      </c>
      <c r="E529" s="181" t="s">
        <v>1303</v>
      </c>
      <c r="F529" s="181" t="s">
        <v>1303</v>
      </c>
    </row>
    <row r="530" spans="2:6" ht="13.2">
      <c r="B530" s="179">
        <v>614</v>
      </c>
      <c r="D530" s="181" t="s">
        <v>409</v>
      </c>
      <c r="E530" s="181" t="s">
        <v>1304</v>
      </c>
      <c r="F530" s="181" t="s">
        <v>1304</v>
      </c>
    </row>
    <row r="531" spans="2:6" ht="13.2">
      <c r="B531" s="179">
        <v>615</v>
      </c>
      <c r="D531" s="181" t="s">
        <v>410</v>
      </c>
      <c r="E531" s="181" t="s">
        <v>1303</v>
      </c>
      <c r="F531" s="181" t="s">
        <v>1303</v>
      </c>
    </row>
    <row r="532" spans="2:6" ht="13.2">
      <c r="B532" s="179">
        <v>616</v>
      </c>
      <c r="D532" s="181" t="s">
        <v>299</v>
      </c>
      <c r="E532" s="181" t="s">
        <v>1305</v>
      </c>
      <c r="F532" s="181" t="s">
        <v>1305</v>
      </c>
    </row>
    <row r="533" spans="2:6" ht="13.2">
      <c r="B533" s="179">
        <v>617</v>
      </c>
      <c r="D533" s="181" t="s">
        <v>300</v>
      </c>
      <c r="E533" s="181" t="s">
        <v>1306</v>
      </c>
      <c r="F533" s="181" t="s">
        <v>1306</v>
      </c>
    </row>
    <row r="534" spans="2:6" ht="13.2">
      <c r="B534" s="179">
        <v>618</v>
      </c>
      <c r="D534" s="181" t="s">
        <v>301</v>
      </c>
      <c r="E534" s="181" t="s">
        <v>1307</v>
      </c>
      <c r="F534" s="181" t="s">
        <v>1307</v>
      </c>
    </row>
    <row r="535" spans="2:6" ht="13.2">
      <c r="B535" s="179">
        <v>619</v>
      </c>
      <c r="D535" s="181" t="s">
        <v>622</v>
      </c>
      <c r="E535" s="181" t="s">
        <v>1308</v>
      </c>
      <c r="F535" s="181" t="s">
        <v>1308</v>
      </c>
    </row>
    <row r="536" spans="2:6" ht="13.2">
      <c r="B536" s="179">
        <v>620</v>
      </c>
      <c r="D536" s="181" t="s">
        <v>621</v>
      </c>
      <c r="E536" s="181" t="s">
        <v>1309</v>
      </c>
      <c r="F536" s="181" t="s">
        <v>1309</v>
      </c>
    </row>
    <row r="537" spans="2:6" ht="24">
      <c r="B537" s="179">
        <v>621</v>
      </c>
      <c r="C537" s="180" t="s">
        <v>547</v>
      </c>
      <c r="D537" s="181" t="s">
        <v>557</v>
      </c>
      <c r="E537" s="181" t="s">
        <v>1310</v>
      </c>
      <c r="F537" s="181" t="s">
        <v>1310</v>
      </c>
    </row>
    <row r="538" spans="2:6" ht="36">
      <c r="B538" s="179">
        <v>622</v>
      </c>
      <c r="C538" s="180" t="s">
        <v>547</v>
      </c>
      <c r="D538" s="181" t="s">
        <v>572</v>
      </c>
      <c r="E538" s="181" t="s">
        <v>1311</v>
      </c>
      <c r="F538" s="181" t="s">
        <v>1311</v>
      </c>
    </row>
    <row r="539" spans="2:6" ht="13.2">
      <c r="B539" s="179">
        <v>623</v>
      </c>
      <c r="D539" s="181" t="s">
        <v>302</v>
      </c>
      <c r="E539" s="181" t="s">
        <v>1312</v>
      </c>
      <c r="F539" s="181" t="s">
        <v>1312</v>
      </c>
    </row>
    <row r="540" spans="2:6" ht="13.2">
      <c r="B540" s="179">
        <v>624</v>
      </c>
      <c r="D540" s="181" t="s">
        <v>600</v>
      </c>
      <c r="E540" s="181" t="s">
        <v>1313</v>
      </c>
      <c r="F540" s="181" t="s">
        <v>1313</v>
      </c>
    </row>
    <row r="541" spans="2:6">
      <c r="B541" s="179">
        <v>625</v>
      </c>
      <c r="D541" s="181" t="s">
        <v>542</v>
      </c>
      <c r="E541" s="181" t="s">
        <v>542</v>
      </c>
      <c r="F541" s="181" t="s">
        <v>542</v>
      </c>
    </row>
    <row r="542" spans="2:6">
      <c r="B542" s="179">
        <v>626</v>
      </c>
      <c r="D542" s="181" t="s">
        <v>303</v>
      </c>
      <c r="F542" s="181"/>
    </row>
    <row r="543" spans="2:6">
      <c r="B543" s="179">
        <v>627</v>
      </c>
      <c r="D543" s="181" t="s">
        <v>304</v>
      </c>
      <c r="F543" s="181"/>
    </row>
    <row r="544" spans="2:6">
      <c r="B544" s="179">
        <v>628</v>
      </c>
      <c r="D544" s="181" t="s">
        <v>540</v>
      </c>
      <c r="E544" s="181" t="s">
        <v>541</v>
      </c>
      <c r="F544" s="181" t="s">
        <v>541</v>
      </c>
    </row>
    <row r="545" spans="1:6" ht="13.2">
      <c r="B545" s="179">
        <v>629</v>
      </c>
      <c r="D545" s="181" t="s">
        <v>305</v>
      </c>
      <c r="E545" s="181" t="s">
        <v>1314</v>
      </c>
      <c r="F545" s="181" t="s">
        <v>1314</v>
      </c>
    </row>
    <row r="546" spans="1:6" ht="13.2">
      <c r="B546" s="179">
        <v>630</v>
      </c>
      <c r="D546" s="181" t="s">
        <v>411</v>
      </c>
      <c r="E546" s="181" t="s">
        <v>1315</v>
      </c>
      <c r="F546" s="181" t="s">
        <v>1315</v>
      </c>
    </row>
    <row r="547" spans="1:6" ht="13.2">
      <c r="B547" s="179">
        <v>631</v>
      </c>
      <c r="D547" s="181" t="s">
        <v>306</v>
      </c>
      <c r="E547" s="181" t="s">
        <v>1316</v>
      </c>
      <c r="F547" s="181" t="s">
        <v>1316</v>
      </c>
    </row>
    <row r="548" spans="1:6" ht="13.2">
      <c r="B548" s="179">
        <v>632</v>
      </c>
      <c r="D548" s="181" t="s">
        <v>340</v>
      </c>
      <c r="E548" s="181" t="s">
        <v>1317</v>
      </c>
      <c r="F548" s="181" t="s">
        <v>1317</v>
      </c>
    </row>
    <row r="549" spans="1:6" ht="13.2">
      <c r="B549" s="179">
        <v>633</v>
      </c>
      <c r="D549" s="181" t="s">
        <v>307</v>
      </c>
      <c r="E549" s="181" t="s">
        <v>1316</v>
      </c>
      <c r="F549" s="181" t="s">
        <v>1316</v>
      </c>
    </row>
    <row r="550" spans="1:6" ht="26.4">
      <c r="A550" s="182"/>
      <c r="B550" s="179">
        <v>634</v>
      </c>
      <c r="C550" s="182"/>
      <c r="D550" s="182" t="s">
        <v>447</v>
      </c>
      <c r="E550" s="182" t="s">
        <v>1318</v>
      </c>
      <c r="F550" s="182" t="s">
        <v>1318</v>
      </c>
    </row>
    <row r="551" spans="1:6" ht="13.2">
      <c r="B551" s="179">
        <v>635</v>
      </c>
      <c r="C551" s="180" t="s">
        <v>547</v>
      </c>
      <c r="D551" s="181" t="s">
        <v>554</v>
      </c>
      <c r="E551" s="181" t="s">
        <v>1319</v>
      </c>
      <c r="F551" s="181" t="s">
        <v>1319</v>
      </c>
    </row>
    <row r="552" spans="1:6" ht="13.2">
      <c r="B552" s="179">
        <v>636</v>
      </c>
      <c r="C552" s="180" t="s">
        <v>547</v>
      </c>
      <c r="D552" s="181" t="s">
        <v>649</v>
      </c>
      <c r="E552" s="181" t="s">
        <v>1320</v>
      </c>
      <c r="F552" s="181" t="s">
        <v>1320</v>
      </c>
    </row>
    <row r="553" spans="1:6">
      <c r="B553" s="179">
        <v>637</v>
      </c>
      <c r="D553" s="181" t="s">
        <v>308</v>
      </c>
      <c r="E553" s="181" t="s">
        <v>308</v>
      </c>
      <c r="F553" s="181" t="s">
        <v>308</v>
      </c>
    </row>
    <row r="554" spans="1:6" ht="13.2">
      <c r="B554" s="179">
        <v>638</v>
      </c>
      <c r="D554" s="181" t="s">
        <v>309</v>
      </c>
      <c r="E554" s="181" t="s">
        <v>1321</v>
      </c>
      <c r="F554" s="181" t="s">
        <v>1321</v>
      </c>
    </row>
    <row r="555" spans="1:6" ht="13.2">
      <c r="B555" s="179">
        <v>639</v>
      </c>
      <c r="D555" s="181" t="s">
        <v>310</v>
      </c>
      <c r="E555" s="181" t="s">
        <v>1322</v>
      </c>
      <c r="F555" s="181" t="s">
        <v>1322</v>
      </c>
    </row>
    <row r="556" spans="1:6" ht="13.2">
      <c r="B556" s="179">
        <v>640</v>
      </c>
      <c r="D556" s="181" t="s">
        <v>412</v>
      </c>
      <c r="E556" s="181" t="s">
        <v>1323</v>
      </c>
      <c r="F556" s="181" t="s">
        <v>1323</v>
      </c>
    </row>
    <row r="557" spans="1:6" ht="24">
      <c r="B557" s="179">
        <v>641</v>
      </c>
      <c r="C557" s="180" t="s">
        <v>547</v>
      </c>
      <c r="D557" s="181" t="s">
        <v>573</v>
      </c>
      <c r="E557" s="181" t="s">
        <v>1324</v>
      </c>
      <c r="F557" s="181" t="s">
        <v>1324</v>
      </c>
    </row>
    <row r="558" spans="1:6" ht="13.2">
      <c r="B558" s="179">
        <v>642</v>
      </c>
      <c r="D558" s="181" t="s">
        <v>311</v>
      </c>
      <c r="E558" s="181" t="s">
        <v>1325</v>
      </c>
      <c r="F558" s="181" t="s">
        <v>1325</v>
      </c>
    </row>
    <row r="559" spans="1:6" ht="39.6">
      <c r="B559" s="179">
        <v>643</v>
      </c>
      <c r="C559" s="180" t="s">
        <v>547</v>
      </c>
      <c r="D559" s="181" t="s">
        <v>580</v>
      </c>
      <c r="E559" s="181" t="s">
        <v>1326</v>
      </c>
      <c r="F559" s="181" t="s">
        <v>1326</v>
      </c>
    </row>
    <row r="560" spans="1:6" ht="13.2">
      <c r="B560" s="179">
        <v>644</v>
      </c>
      <c r="D560" s="181" t="s">
        <v>312</v>
      </c>
      <c r="E560" s="181" t="s">
        <v>1327</v>
      </c>
      <c r="F560" s="181" t="s">
        <v>1327</v>
      </c>
    </row>
    <row r="561" spans="2:27" ht="13.2">
      <c r="B561" s="179">
        <v>645</v>
      </c>
      <c r="D561" s="181" t="s">
        <v>313</v>
      </c>
      <c r="E561" s="181" t="s">
        <v>1328</v>
      </c>
      <c r="F561" s="181" t="s">
        <v>1328</v>
      </c>
    </row>
    <row r="562" spans="2:27" ht="13.2">
      <c r="B562" s="179">
        <v>646</v>
      </c>
      <c r="D562" s="181" t="s">
        <v>413</v>
      </c>
      <c r="E562" s="181" t="s">
        <v>1329</v>
      </c>
      <c r="F562" s="181" t="s">
        <v>1329</v>
      </c>
    </row>
    <row r="563" spans="2:27" ht="26.4">
      <c r="B563" s="179">
        <v>647</v>
      </c>
      <c r="D563" s="181" t="s">
        <v>314</v>
      </c>
      <c r="E563" s="181" t="s">
        <v>1330</v>
      </c>
      <c r="F563" s="181" t="s">
        <v>1330</v>
      </c>
    </row>
    <row r="564" spans="2:27" ht="13.2">
      <c r="B564" s="179">
        <v>648</v>
      </c>
      <c r="D564" s="181" t="s">
        <v>315</v>
      </c>
      <c r="E564" s="181" t="s">
        <v>1328</v>
      </c>
      <c r="F564" s="181" t="s">
        <v>1328</v>
      </c>
    </row>
    <row r="565" spans="2:27" ht="13.2">
      <c r="B565" s="179">
        <v>649</v>
      </c>
      <c r="D565" s="181" t="s">
        <v>316</v>
      </c>
      <c r="E565" s="181" t="s">
        <v>1331</v>
      </c>
      <c r="F565" s="181" t="s">
        <v>1331</v>
      </c>
    </row>
    <row r="566" spans="2:27" ht="13.2">
      <c r="B566" s="179">
        <v>650</v>
      </c>
      <c r="D566" s="181" t="s">
        <v>317</v>
      </c>
      <c r="E566" s="181" t="s">
        <v>1332</v>
      </c>
      <c r="F566" s="181" t="s">
        <v>1332</v>
      </c>
    </row>
    <row r="567" spans="2:27" ht="13.2">
      <c r="B567" s="179">
        <v>651</v>
      </c>
      <c r="D567" s="181" t="s">
        <v>318</v>
      </c>
      <c r="E567" s="181" t="s">
        <v>1333</v>
      </c>
      <c r="F567" s="181" t="s">
        <v>1333</v>
      </c>
    </row>
    <row r="568" spans="2:27" ht="13.2">
      <c r="B568" s="179">
        <v>652</v>
      </c>
      <c r="D568" s="181" t="s">
        <v>319</v>
      </c>
      <c r="E568" s="181" t="s">
        <v>1334</v>
      </c>
      <c r="F568" s="181" t="s">
        <v>1334</v>
      </c>
      <c r="G568" s="182"/>
      <c r="H568" s="182"/>
      <c r="I568" s="182"/>
      <c r="J568" s="182"/>
      <c r="K568" s="182"/>
      <c r="L568" s="182"/>
      <c r="M568" s="182"/>
      <c r="N568" s="182"/>
      <c r="O568" s="182"/>
      <c r="P568" s="182"/>
      <c r="Q568" s="182"/>
      <c r="R568" s="182"/>
      <c r="S568" s="182"/>
      <c r="T568" s="182"/>
      <c r="U568" s="182"/>
      <c r="V568" s="182"/>
      <c r="W568" s="182"/>
      <c r="X568" s="182"/>
      <c r="Y568" s="182"/>
      <c r="Z568" s="182"/>
      <c r="AA568" s="182"/>
    </row>
    <row r="569" spans="2:27" ht="13.2">
      <c r="B569" s="179">
        <v>653</v>
      </c>
      <c r="D569" s="181" t="s">
        <v>320</v>
      </c>
      <c r="E569" s="181" t="s">
        <v>1335</v>
      </c>
      <c r="F569" s="181" t="s">
        <v>1335</v>
      </c>
      <c r="G569" s="182"/>
      <c r="H569" s="182"/>
      <c r="I569" s="182"/>
      <c r="J569" s="182"/>
      <c r="K569" s="182"/>
      <c r="L569" s="182"/>
      <c r="M569" s="182"/>
      <c r="N569" s="182"/>
      <c r="O569" s="182"/>
      <c r="P569" s="182"/>
      <c r="Q569" s="182"/>
      <c r="R569" s="182"/>
      <c r="S569" s="182"/>
      <c r="T569" s="182"/>
      <c r="U569" s="182"/>
      <c r="V569" s="182"/>
      <c r="W569" s="182"/>
      <c r="X569" s="182"/>
      <c r="Y569" s="182"/>
      <c r="Z569" s="182"/>
      <c r="AA569" s="182"/>
    </row>
    <row r="570" spans="2:27" ht="13.2">
      <c r="B570" s="179">
        <v>654</v>
      </c>
      <c r="D570" s="181" t="s">
        <v>321</v>
      </c>
      <c r="E570" s="181" t="s">
        <v>1327</v>
      </c>
      <c r="F570" s="181" t="s">
        <v>1327</v>
      </c>
      <c r="G570" s="183"/>
      <c r="H570" s="183"/>
      <c r="I570" s="183"/>
      <c r="J570" s="183"/>
      <c r="K570" s="183"/>
      <c r="L570" s="183"/>
      <c r="M570" s="183"/>
      <c r="N570" s="183"/>
      <c r="O570" s="183"/>
      <c r="P570" s="183"/>
      <c r="Q570" s="183"/>
      <c r="R570" s="183"/>
      <c r="S570" s="183"/>
      <c r="T570" s="183"/>
      <c r="U570" s="183"/>
      <c r="V570" s="183"/>
      <c r="W570" s="183"/>
      <c r="X570" s="183"/>
      <c r="Y570" s="183"/>
      <c r="Z570" s="183"/>
      <c r="AA570" s="183"/>
    </row>
    <row r="571" spans="2:27" ht="13.2">
      <c r="B571" s="179">
        <v>655</v>
      </c>
      <c r="C571" s="180" t="s">
        <v>547</v>
      </c>
      <c r="D571" s="181" t="s">
        <v>574</v>
      </c>
      <c r="E571" s="181" t="s">
        <v>1336</v>
      </c>
      <c r="F571" s="181" t="s">
        <v>1336</v>
      </c>
    </row>
    <row r="572" spans="2:27" ht="26.4">
      <c r="B572" s="179">
        <v>656</v>
      </c>
      <c r="D572" s="181" t="s">
        <v>322</v>
      </c>
      <c r="E572" s="181" t="s">
        <v>1337</v>
      </c>
      <c r="F572" s="181" t="s">
        <v>1337</v>
      </c>
      <c r="G572" s="183"/>
      <c r="H572" s="183"/>
      <c r="I572" s="183"/>
      <c r="J572" s="183"/>
      <c r="K572" s="183"/>
      <c r="L572" s="183"/>
      <c r="M572" s="183"/>
      <c r="N572" s="183"/>
      <c r="O572" s="183"/>
      <c r="P572" s="183"/>
      <c r="Q572" s="183"/>
      <c r="R572" s="183"/>
      <c r="S572" s="183"/>
      <c r="T572" s="183"/>
      <c r="U572" s="183"/>
      <c r="V572" s="183"/>
      <c r="W572" s="183"/>
      <c r="X572" s="183"/>
      <c r="Y572" s="183"/>
      <c r="Z572" s="183"/>
      <c r="AA572" s="183"/>
    </row>
    <row r="573" spans="2:27" ht="39.6">
      <c r="B573" s="179">
        <v>657</v>
      </c>
      <c r="D573" s="181" t="s">
        <v>323</v>
      </c>
      <c r="E573" s="181" t="s">
        <v>1338</v>
      </c>
      <c r="F573" s="181" t="s">
        <v>1338</v>
      </c>
      <c r="G573" s="183"/>
      <c r="H573" s="183"/>
      <c r="I573" s="183"/>
      <c r="J573" s="183"/>
      <c r="K573" s="183"/>
      <c r="L573" s="183"/>
      <c r="M573" s="183"/>
      <c r="N573" s="183"/>
      <c r="O573" s="183"/>
      <c r="P573" s="183"/>
      <c r="Q573" s="183"/>
      <c r="R573" s="183"/>
      <c r="S573" s="183"/>
      <c r="T573" s="183"/>
      <c r="U573" s="183"/>
      <c r="V573" s="183"/>
      <c r="W573" s="183"/>
      <c r="X573" s="183"/>
      <c r="Y573" s="183"/>
      <c r="Z573" s="183"/>
      <c r="AA573" s="183"/>
    </row>
    <row r="574" spans="2:27" ht="13.2">
      <c r="B574" s="179">
        <v>658</v>
      </c>
      <c r="D574" s="181" t="s">
        <v>324</v>
      </c>
      <c r="E574" s="181" t="s">
        <v>1339</v>
      </c>
      <c r="F574" s="181" t="s">
        <v>1339</v>
      </c>
      <c r="G574" s="183"/>
      <c r="H574" s="183"/>
      <c r="I574" s="183"/>
      <c r="J574" s="183"/>
      <c r="K574" s="183"/>
      <c r="L574" s="183"/>
      <c r="M574" s="183"/>
      <c r="N574" s="183"/>
      <c r="O574" s="183"/>
      <c r="P574" s="183"/>
      <c r="Q574" s="183"/>
      <c r="R574" s="183"/>
      <c r="S574" s="183"/>
      <c r="T574" s="183"/>
      <c r="U574" s="183"/>
      <c r="V574" s="183"/>
      <c r="W574" s="183"/>
      <c r="X574" s="183"/>
      <c r="Y574" s="183"/>
      <c r="Z574" s="183"/>
      <c r="AA574" s="183"/>
    </row>
    <row r="575" spans="2:27" ht="39.6">
      <c r="B575" s="179">
        <v>659</v>
      </c>
      <c r="D575" s="181" t="s">
        <v>325</v>
      </c>
      <c r="E575" s="181" t="s">
        <v>1340</v>
      </c>
      <c r="F575" s="181" t="s">
        <v>1340</v>
      </c>
      <c r="G575" s="183"/>
      <c r="H575" s="183"/>
      <c r="I575" s="183"/>
      <c r="J575" s="183"/>
      <c r="K575" s="183"/>
      <c r="L575" s="183"/>
      <c r="M575" s="183"/>
      <c r="N575" s="183"/>
      <c r="O575" s="183"/>
      <c r="P575" s="183"/>
      <c r="Q575" s="183"/>
      <c r="R575" s="183"/>
      <c r="S575" s="183"/>
      <c r="T575" s="183"/>
      <c r="U575" s="183"/>
      <c r="V575" s="183"/>
      <c r="W575" s="183"/>
      <c r="X575" s="183"/>
      <c r="Y575" s="183"/>
      <c r="Z575" s="183"/>
      <c r="AA575" s="183"/>
    </row>
    <row r="576" spans="2:27" ht="13.2">
      <c r="B576" s="179">
        <v>660</v>
      </c>
      <c r="D576" s="181" t="s">
        <v>326</v>
      </c>
      <c r="E576" s="181" t="s">
        <v>1341</v>
      </c>
      <c r="F576" s="181" t="s">
        <v>1341</v>
      </c>
      <c r="G576" s="183"/>
      <c r="H576" s="183"/>
      <c r="I576" s="183"/>
      <c r="J576" s="183"/>
      <c r="K576" s="183"/>
      <c r="L576" s="183"/>
      <c r="M576" s="183"/>
      <c r="N576" s="183"/>
      <c r="O576" s="183"/>
      <c r="P576" s="183"/>
      <c r="Q576" s="183"/>
      <c r="R576" s="183"/>
      <c r="S576" s="183"/>
      <c r="T576" s="183"/>
      <c r="U576" s="183"/>
      <c r="V576" s="183"/>
      <c r="W576" s="183"/>
      <c r="X576" s="183"/>
      <c r="Y576" s="183"/>
      <c r="Z576" s="183"/>
      <c r="AA576" s="183"/>
    </row>
    <row r="577" spans="2:27" ht="13.2">
      <c r="B577" s="179">
        <v>661</v>
      </c>
      <c r="D577" s="181" t="s">
        <v>327</v>
      </c>
      <c r="E577" s="181" t="s">
        <v>1342</v>
      </c>
      <c r="F577" s="181" t="s">
        <v>1342</v>
      </c>
      <c r="G577" s="183"/>
      <c r="H577" s="183"/>
      <c r="I577" s="183"/>
      <c r="J577" s="183"/>
      <c r="K577" s="183"/>
      <c r="L577" s="183"/>
      <c r="M577" s="183"/>
      <c r="N577" s="183"/>
      <c r="O577" s="183"/>
      <c r="P577" s="183"/>
      <c r="Q577" s="183"/>
      <c r="R577" s="183"/>
      <c r="S577" s="183"/>
      <c r="T577" s="183"/>
      <c r="U577" s="183"/>
      <c r="V577" s="183"/>
      <c r="W577" s="183"/>
      <c r="X577" s="183"/>
      <c r="Y577" s="183"/>
      <c r="Z577" s="183"/>
      <c r="AA577" s="183"/>
    </row>
    <row r="578" spans="2:27" ht="13.2">
      <c r="B578" s="179">
        <v>662</v>
      </c>
      <c r="D578" s="181" t="s">
        <v>328</v>
      </c>
      <c r="E578" s="181" t="s">
        <v>1343</v>
      </c>
      <c r="F578" s="181" t="s">
        <v>1343</v>
      </c>
      <c r="G578" s="183"/>
      <c r="H578" s="183"/>
      <c r="I578" s="183"/>
      <c r="J578" s="183"/>
      <c r="K578" s="183"/>
      <c r="L578" s="183"/>
      <c r="M578" s="183"/>
      <c r="N578" s="183"/>
      <c r="O578" s="183"/>
      <c r="P578" s="183"/>
      <c r="Q578" s="183"/>
      <c r="R578" s="183"/>
      <c r="S578" s="183"/>
      <c r="T578" s="183"/>
      <c r="U578" s="183"/>
      <c r="V578" s="183"/>
      <c r="W578" s="183"/>
      <c r="X578" s="183"/>
      <c r="Y578" s="183"/>
      <c r="Z578" s="183"/>
      <c r="AA578" s="183"/>
    </row>
    <row r="579" spans="2:27" ht="13.2">
      <c r="B579" s="179">
        <v>663</v>
      </c>
      <c r="D579" s="181" t="s">
        <v>329</v>
      </c>
      <c r="E579" s="181" t="s">
        <v>1344</v>
      </c>
      <c r="F579" s="181" t="s">
        <v>1344</v>
      </c>
      <c r="G579" s="183"/>
      <c r="H579" s="183"/>
      <c r="I579" s="183"/>
      <c r="J579" s="183"/>
      <c r="K579" s="183"/>
      <c r="L579" s="183"/>
      <c r="M579" s="183"/>
      <c r="N579" s="183"/>
      <c r="O579" s="183"/>
      <c r="P579" s="183"/>
      <c r="Q579" s="183"/>
      <c r="R579" s="183"/>
      <c r="S579" s="183"/>
      <c r="T579" s="183"/>
      <c r="U579" s="183"/>
      <c r="V579" s="183"/>
      <c r="W579" s="183"/>
      <c r="X579" s="183"/>
      <c r="Y579" s="183"/>
      <c r="Z579" s="183"/>
      <c r="AA579" s="183"/>
    </row>
    <row r="580" spans="2:27" ht="13.2">
      <c r="B580" s="179">
        <v>664</v>
      </c>
      <c r="D580" s="181" t="s">
        <v>330</v>
      </c>
      <c r="E580" s="181" t="s">
        <v>1345</v>
      </c>
      <c r="F580" s="181" t="s">
        <v>1345</v>
      </c>
      <c r="G580" s="183"/>
      <c r="H580" s="183"/>
      <c r="I580" s="183"/>
      <c r="J580" s="183"/>
      <c r="K580" s="183"/>
      <c r="L580" s="183"/>
      <c r="M580" s="183"/>
      <c r="N580" s="183"/>
      <c r="O580" s="183"/>
      <c r="P580" s="183"/>
      <c r="Q580" s="183"/>
      <c r="R580" s="183"/>
      <c r="S580" s="183"/>
      <c r="T580" s="183"/>
      <c r="U580" s="183"/>
      <c r="V580" s="183"/>
      <c r="W580" s="183"/>
      <c r="X580" s="183"/>
      <c r="Y580" s="183"/>
      <c r="Z580" s="183"/>
      <c r="AA580" s="183"/>
    </row>
    <row r="581" spans="2:27" ht="13.2">
      <c r="B581" s="179">
        <v>665</v>
      </c>
      <c r="D581" s="181" t="s">
        <v>331</v>
      </c>
      <c r="E581" s="181" t="s">
        <v>1346</v>
      </c>
      <c r="F581" s="181" t="s">
        <v>1346</v>
      </c>
      <c r="G581" s="183"/>
      <c r="H581" s="183"/>
      <c r="I581" s="183"/>
      <c r="J581" s="183"/>
      <c r="K581" s="183"/>
      <c r="L581" s="183"/>
      <c r="M581" s="183"/>
      <c r="N581" s="183"/>
      <c r="O581" s="183"/>
      <c r="P581" s="183"/>
      <c r="Q581" s="183"/>
      <c r="R581" s="183"/>
      <c r="S581" s="183"/>
      <c r="T581" s="183"/>
      <c r="U581" s="183"/>
      <c r="V581" s="183"/>
      <c r="W581" s="183"/>
      <c r="X581" s="183"/>
      <c r="Y581" s="183"/>
      <c r="Z581" s="183"/>
      <c r="AA581" s="183"/>
    </row>
    <row r="582" spans="2:27" ht="13.2">
      <c r="B582" s="179">
        <v>666</v>
      </c>
      <c r="D582" s="181" t="s">
        <v>657</v>
      </c>
      <c r="E582" s="181" t="s">
        <v>1347</v>
      </c>
      <c r="F582" s="181" t="s">
        <v>1347</v>
      </c>
    </row>
    <row r="583" spans="2:27" ht="13.2">
      <c r="B583" s="179">
        <v>667</v>
      </c>
      <c r="D583" s="181" t="s">
        <v>658</v>
      </c>
      <c r="E583" s="181" t="s">
        <v>1348</v>
      </c>
      <c r="F583" s="181" t="s">
        <v>1348</v>
      </c>
    </row>
    <row r="584" spans="2:27" ht="13.2">
      <c r="B584" s="179">
        <v>668</v>
      </c>
      <c r="D584" s="181" t="s">
        <v>650</v>
      </c>
      <c r="E584" s="181" t="s">
        <v>1349</v>
      </c>
      <c r="F584" s="181" t="s">
        <v>1349</v>
      </c>
    </row>
    <row r="585" spans="2:27" ht="13.2">
      <c r="B585" s="179">
        <v>669</v>
      </c>
      <c r="D585" s="181" t="s">
        <v>656</v>
      </c>
      <c r="E585" s="181" t="s">
        <v>1350</v>
      </c>
      <c r="F585" s="181" t="s">
        <v>1350</v>
      </c>
    </row>
    <row r="586" spans="2:27" ht="13.2">
      <c r="B586" s="179">
        <v>670</v>
      </c>
      <c r="D586" s="181" t="s">
        <v>653</v>
      </c>
      <c r="E586" s="181" t="s">
        <v>1351</v>
      </c>
      <c r="F586" s="181" t="s">
        <v>1351</v>
      </c>
    </row>
    <row r="587" spans="2:27" ht="13.2">
      <c r="B587" s="179">
        <v>671</v>
      </c>
      <c r="D587" s="181" t="s">
        <v>654</v>
      </c>
      <c r="E587" s="181" t="s">
        <v>1352</v>
      </c>
      <c r="F587" s="181" t="s">
        <v>1352</v>
      </c>
    </row>
    <row r="588" spans="2:27" ht="13.2">
      <c r="B588" s="179">
        <v>672</v>
      </c>
      <c r="D588" s="181" t="s">
        <v>655</v>
      </c>
      <c r="E588" s="181" t="s">
        <v>1353</v>
      </c>
      <c r="F588" s="181" t="s">
        <v>1353</v>
      </c>
    </row>
    <row r="589" spans="2:27" ht="13.2">
      <c r="B589" s="179">
        <v>673</v>
      </c>
      <c r="D589" s="181" t="s">
        <v>659</v>
      </c>
      <c r="E589" s="181" t="s">
        <v>1354</v>
      </c>
      <c r="F589" s="181" t="s">
        <v>1354</v>
      </c>
    </row>
    <row r="590" spans="2:27" ht="13.2">
      <c r="B590" s="179">
        <v>674</v>
      </c>
      <c r="D590" s="181" t="s">
        <v>743</v>
      </c>
      <c r="E590" s="181" t="s">
        <v>1355</v>
      </c>
      <c r="F590" s="181" t="s">
        <v>1355</v>
      </c>
    </row>
    <row r="591" spans="2:27" ht="13.2">
      <c r="B591" s="179">
        <v>675</v>
      </c>
      <c r="D591" s="181" t="s">
        <v>747</v>
      </c>
      <c r="E591" s="181" t="s">
        <v>1356</v>
      </c>
      <c r="F591" s="181" t="s">
        <v>1356</v>
      </c>
    </row>
    <row r="592" spans="2:27" ht="13.2">
      <c r="B592" s="179">
        <v>676</v>
      </c>
      <c r="D592" s="181" t="s">
        <v>748</v>
      </c>
      <c r="E592" s="181" t="s">
        <v>1357</v>
      </c>
      <c r="F592" s="181" t="s">
        <v>1357</v>
      </c>
    </row>
    <row r="593" spans="2:6" ht="13.2">
      <c r="B593" s="179">
        <v>677</v>
      </c>
      <c r="D593" s="181" t="s">
        <v>749</v>
      </c>
      <c r="E593" s="181" t="s">
        <v>1358</v>
      </c>
      <c r="F593" s="178" t="s">
        <v>1358</v>
      </c>
    </row>
    <row r="594" spans="2:6" ht="13.2">
      <c r="B594" s="179">
        <v>678</v>
      </c>
      <c r="D594" s="181" t="s">
        <v>750</v>
      </c>
      <c r="E594" s="181" t="s">
        <v>1359</v>
      </c>
      <c r="F594" s="181" t="s">
        <v>1359</v>
      </c>
    </row>
    <row r="595" spans="2:6" ht="13.2">
      <c r="B595" s="179">
        <v>679</v>
      </c>
      <c r="D595" s="181" t="s">
        <v>1360</v>
      </c>
      <c r="E595" s="181" t="s">
        <v>1361</v>
      </c>
      <c r="F595" s="181" t="s">
        <v>1361</v>
      </c>
    </row>
    <row r="596" spans="2:6" ht="13.2">
      <c r="B596" s="179">
        <v>680</v>
      </c>
      <c r="D596" s="181" t="s">
        <v>1362</v>
      </c>
      <c r="E596" s="196" t="s">
        <v>1364</v>
      </c>
      <c r="F596" s="196" t="s">
        <v>1364</v>
      </c>
    </row>
    <row r="597" spans="2:6" ht="13.2">
      <c r="B597" s="179">
        <v>681</v>
      </c>
      <c r="D597" s="181" t="s">
        <v>1363</v>
      </c>
      <c r="E597" s="196" t="s">
        <v>1365</v>
      </c>
      <c r="F597" s="196" t="s">
        <v>1365</v>
      </c>
    </row>
    <row r="598" spans="2:6">
      <c r="B598" s="179">
        <v>682</v>
      </c>
      <c r="D598" s="181" t="s">
        <v>1380</v>
      </c>
      <c r="E598" s="202" t="s">
        <v>1381</v>
      </c>
      <c r="F598" s="202" t="s">
        <v>1381</v>
      </c>
    </row>
    <row r="599" spans="2:6">
      <c r="B599" s="179">
        <v>683</v>
      </c>
      <c r="D599" s="181" t="s">
        <v>1382</v>
      </c>
      <c r="E599" s="202" t="s">
        <v>1385</v>
      </c>
      <c r="F599" s="202" t="s">
        <v>1385</v>
      </c>
    </row>
    <row r="600" spans="2:6">
      <c r="B600" s="179">
        <v>684</v>
      </c>
      <c r="D600" s="181" t="s">
        <v>1383</v>
      </c>
      <c r="E600" s="181" t="s">
        <v>1384</v>
      </c>
      <c r="F600" s="181" t="s">
        <v>1384</v>
      </c>
    </row>
  </sheetData>
  <sortState xmlns:xlrd2="http://schemas.microsoft.com/office/spreadsheetml/2017/richdata2" ref="A17:AA581">
    <sortCondition ref="D17:D581"/>
  </sortState>
  <phoneticPr fontId="1" type="noConversion"/>
  <hyperlinks>
    <hyperlink ref="E600" r:id="rId1" xr:uid="{C453561F-A3E7-48A4-A805-C05FE82A257C}"/>
    <hyperlink ref="F600" r:id="rId2" xr:uid="{FF88C574-7092-4AEC-AA52-BD925D92CBC5}"/>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D89"/>
  <sheetViews>
    <sheetView zoomScale="81" zoomScaleNormal="81" workbookViewId="0">
      <selection activeCell="D7" sqref="D7"/>
    </sheetView>
  </sheetViews>
  <sheetFormatPr defaultColWidth="10.59765625" defaultRowHeight="14.4"/>
  <cols>
    <col min="1" max="1" width="9.5" style="103" bestFit="1" customWidth="1"/>
    <col min="2" max="2" width="9.69921875" style="103" bestFit="1" customWidth="1"/>
    <col min="3" max="12" width="11.3984375" style="103" bestFit="1" customWidth="1"/>
    <col min="13" max="13" width="31.8984375" style="103" bestFit="1" customWidth="1"/>
    <col min="14" max="14" width="14.59765625" style="103" bestFit="1" customWidth="1"/>
    <col min="15" max="16" width="10.5" style="103" bestFit="1" customWidth="1"/>
    <col min="17" max="17" width="15.5" style="103" bestFit="1" customWidth="1"/>
    <col min="18" max="18" width="17.09765625" style="103" bestFit="1" customWidth="1"/>
    <col min="19" max="19" width="13.19921875" style="103" bestFit="1" customWidth="1"/>
    <col min="20" max="20" width="19.8984375" style="103" bestFit="1" customWidth="1"/>
    <col min="21" max="21" width="14.3984375" style="103" bestFit="1" customWidth="1"/>
    <col min="22" max="22" width="14.09765625" style="103" bestFit="1" customWidth="1"/>
    <col min="23" max="23" width="15.5" style="103" bestFit="1" customWidth="1"/>
    <col min="24" max="24" width="19.3984375" style="104" bestFit="1" customWidth="1"/>
    <col min="25" max="25" width="9.5" style="104" bestFit="1" customWidth="1"/>
    <col min="26" max="26" width="10.8984375" style="104" bestFit="1" customWidth="1"/>
    <col min="27" max="27" width="10.8984375" style="103" bestFit="1" customWidth="1"/>
    <col min="28" max="28" width="12.5" style="103" bestFit="1" customWidth="1"/>
    <col min="29" max="29" width="12.8984375" style="103" bestFit="1" customWidth="1"/>
    <col min="30" max="30" width="15.69921875" style="103" bestFit="1" customWidth="1"/>
    <col min="31" max="16384" width="10.59765625" style="103"/>
  </cols>
  <sheetData>
    <row r="1" spans="1:30">
      <c r="A1" s="106" t="s">
        <v>539</v>
      </c>
      <c r="B1" s="106" t="s">
        <v>333</v>
      </c>
      <c r="C1" s="106" t="s">
        <v>528</v>
      </c>
      <c r="D1" s="106" t="s">
        <v>529</v>
      </c>
      <c r="E1" s="106" t="s">
        <v>530</v>
      </c>
      <c r="F1" s="106" t="s">
        <v>531</v>
      </c>
      <c r="G1" s="106" t="s">
        <v>532</v>
      </c>
      <c r="H1" s="106" t="s">
        <v>533</v>
      </c>
      <c r="I1" s="106" t="s">
        <v>534</v>
      </c>
      <c r="J1" s="106" t="s">
        <v>535</v>
      </c>
      <c r="K1" s="106" t="s">
        <v>536</v>
      </c>
      <c r="L1" s="106" t="s">
        <v>537</v>
      </c>
      <c r="M1" s="106" t="s">
        <v>334</v>
      </c>
      <c r="N1" s="106" t="s">
        <v>335</v>
      </c>
      <c r="O1" s="106" t="s">
        <v>336</v>
      </c>
      <c r="P1" s="106" t="s">
        <v>337</v>
      </c>
      <c r="Q1" s="106" t="s">
        <v>505</v>
      </c>
      <c r="R1" s="106" t="s">
        <v>506</v>
      </c>
      <c r="S1" s="106" t="s">
        <v>538</v>
      </c>
      <c r="T1" s="106" t="s">
        <v>615</v>
      </c>
      <c r="U1" s="106" t="s">
        <v>492</v>
      </c>
      <c r="V1" s="106" t="s">
        <v>493</v>
      </c>
      <c r="W1" s="106" t="s">
        <v>495</v>
      </c>
      <c r="X1" s="107" t="s">
        <v>606</v>
      </c>
      <c r="Y1" s="107" t="s">
        <v>496</v>
      </c>
      <c r="Z1" s="107" t="s">
        <v>497</v>
      </c>
      <c r="AA1" s="106" t="s">
        <v>507</v>
      </c>
      <c r="AB1" s="106" t="s">
        <v>508</v>
      </c>
      <c r="AC1" s="106" t="s">
        <v>526</v>
      </c>
      <c r="AD1" s="106" t="s">
        <v>494</v>
      </c>
    </row>
    <row r="2" spans="1:30">
      <c r="A2" s="105" t="s">
        <v>1558</v>
      </c>
      <c r="B2" s="105" t="s">
        <v>1473</v>
      </c>
      <c r="C2" s="105" t="s">
        <v>499</v>
      </c>
      <c r="D2" s="105" t="s">
        <v>545</v>
      </c>
      <c r="E2" s="105" t="s">
        <v>1473</v>
      </c>
      <c r="M2" s="105" t="s">
        <v>1483</v>
      </c>
      <c r="N2" s="105" t="s">
        <v>1475</v>
      </c>
      <c r="O2" s="102">
        <v>44701</v>
      </c>
      <c r="P2" s="102">
        <v>44702</v>
      </c>
      <c r="Q2" s="102">
        <v>44701</v>
      </c>
      <c r="R2" s="102">
        <v>44702</v>
      </c>
      <c r="S2" s="103">
        <v>21</v>
      </c>
      <c r="T2" s="103">
        <v>1</v>
      </c>
      <c r="U2" s="103">
        <v>1</v>
      </c>
      <c r="V2" s="103">
        <v>1</v>
      </c>
      <c r="W2" s="103">
        <v>0</v>
      </c>
      <c r="X2" s="104">
        <v>1</v>
      </c>
      <c r="Y2" s="104">
        <v>1</v>
      </c>
      <c r="Z2" s="104">
        <v>1</v>
      </c>
      <c r="AC2" s="103">
        <v>1</v>
      </c>
    </row>
    <row r="3" spans="1:30">
      <c r="A3" s="105" t="s">
        <v>1558</v>
      </c>
      <c r="B3" s="105" t="s">
        <v>1473</v>
      </c>
      <c r="C3" s="105" t="s">
        <v>499</v>
      </c>
      <c r="D3" s="105" t="s">
        <v>545</v>
      </c>
      <c r="E3" s="105" t="s">
        <v>1473</v>
      </c>
      <c r="M3" s="105" t="s">
        <v>1483</v>
      </c>
      <c r="N3" s="105" t="s">
        <v>1559</v>
      </c>
      <c r="O3" s="102">
        <v>44701</v>
      </c>
      <c r="P3" s="102">
        <v>44702</v>
      </c>
      <c r="Q3" s="102">
        <v>44701</v>
      </c>
      <c r="R3" s="102">
        <v>44702</v>
      </c>
      <c r="S3" s="103">
        <v>21</v>
      </c>
      <c r="T3" s="103">
        <v>1</v>
      </c>
      <c r="U3" s="103">
        <v>1</v>
      </c>
      <c r="V3" s="103">
        <v>1</v>
      </c>
      <c r="W3" s="103">
        <v>0</v>
      </c>
      <c r="X3" s="104">
        <v>1</v>
      </c>
      <c r="Y3" s="104">
        <v>1</v>
      </c>
      <c r="Z3" s="104">
        <v>1</v>
      </c>
      <c r="AC3" s="103">
        <v>1</v>
      </c>
    </row>
    <row r="4" spans="1:30">
      <c r="A4" s="105" t="s">
        <v>1560</v>
      </c>
      <c r="B4" s="105" t="s">
        <v>1489</v>
      </c>
      <c r="C4" s="105" t="s">
        <v>499</v>
      </c>
      <c r="D4" s="105" t="s">
        <v>545</v>
      </c>
      <c r="E4" s="105" t="s">
        <v>1474</v>
      </c>
      <c r="F4" s="105" t="s">
        <v>1489</v>
      </c>
      <c r="M4" s="105" t="s">
        <v>1490</v>
      </c>
      <c r="N4" s="105" t="s">
        <v>1475</v>
      </c>
      <c r="O4" s="102">
        <v>44705</v>
      </c>
      <c r="P4" s="102">
        <v>44711</v>
      </c>
      <c r="Q4" s="102">
        <v>44703</v>
      </c>
      <c r="R4" s="102">
        <v>44709</v>
      </c>
      <c r="S4" s="103">
        <v>22</v>
      </c>
      <c r="T4" s="103">
        <v>2</v>
      </c>
      <c r="U4" s="103">
        <v>4</v>
      </c>
      <c r="V4" s="103">
        <v>4</v>
      </c>
      <c r="W4" s="103">
        <v>0</v>
      </c>
      <c r="X4" s="104">
        <v>1</v>
      </c>
      <c r="Y4" s="104">
        <v>1</v>
      </c>
      <c r="Z4" s="104">
        <v>1</v>
      </c>
      <c r="AC4" s="103">
        <v>4</v>
      </c>
    </row>
    <row r="5" spans="1:30">
      <c r="A5" s="105" t="s">
        <v>1560</v>
      </c>
      <c r="B5" s="105" t="s">
        <v>1489</v>
      </c>
      <c r="C5" s="105" t="s">
        <v>499</v>
      </c>
      <c r="D5" s="105" t="s">
        <v>545</v>
      </c>
      <c r="E5" s="105" t="s">
        <v>1474</v>
      </c>
      <c r="F5" s="105" t="s">
        <v>1489</v>
      </c>
      <c r="M5" s="105" t="s">
        <v>1490</v>
      </c>
      <c r="N5" s="105" t="s">
        <v>1475</v>
      </c>
      <c r="O5" s="102">
        <v>44705</v>
      </c>
      <c r="P5" s="102">
        <v>44711</v>
      </c>
      <c r="Q5" s="102">
        <v>44710</v>
      </c>
      <c r="R5" s="102">
        <v>44716</v>
      </c>
      <c r="S5" s="103">
        <v>23</v>
      </c>
      <c r="T5" s="103">
        <v>3</v>
      </c>
      <c r="U5" s="103">
        <v>1</v>
      </c>
      <c r="V5" s="103">
        <v>1</v>
      </c>
      <c r="W5" s="103">
        <v>0</v>
      </c>
      <c r="X5" s="104">
        <v>1</v>
      </c>
      <c r="Y5" s="104">
        <v>1</v>
      </c>
      <c r="Z5" s="104">
        <v>1</v>
      </c>
      <c r="AC5" s="103">
        <v>1</v>
      </c>
    </row>
    <row r="6" spans="1:30">
      <c r="A6" s="105" t="s">
        <v>1560</v>
      </c>
      <c r="B6" s="105" t="s">
        <v>1491</v>
      </c>
      <c r="C6" s="105" t="s">
        <v>499</v>
      </c>
      <c r="D6" s="105" t="s">
        <v>545</v>
      </c>
      <c r="E6" s="105" t="s">
        <v>1474</v>
      </c>
      <c r="F6" s="105" t="s">
        <v>1491</v>
      </c>
      <c r="M6" s="105" t="s">
        <v>1492</v>
      </c>
      <c r="N6" s="105" t="s">
        <v>1475</v>
      </c>
      <c r="O6" s="102">
        <v>44712</v>
      </c>
      <c r="P6" s="102">
        <v>44712</v>
      </c>
      <c r="Q6" s="102">
        <v>44710</v>
      </c>
      <c r="R6" s="102">
        <v>44716</v>
      </c>
      <c r="S6" s="103">
        <v>23</v>
      </c>
      <c r="T6" s="103">
        <v>3</v>
      </c>
      <c r="U6" s="103">
        <v>0</v>
      </c>
      <c r="V6" s="103">
        <v>0</v>
      </c>
      <c r="W6" s="103">
        <v>0</v>
      </c>
      <c r="X6" s="104">
        <v>0</v>
      </c>
      <c r="Y6" s="104">
        <v>1</v>
      </c>
      <c r="Z6" s="104">
        <v>1</v>
      </c>
      <c r="AC6" s="103">
        <v>0</v>
      </c>
    </row>
    <row r="7" spans="1:30">
      <c r="A7" s="105" t="s">
        <v>1558</v>
      </c>
      <c r="B7" s="105" t="s">
        <v>1476</v>
      </c>
      <c r="C7" s="105" t="s">
        <v>499</v>
      </c>
      <c r="D7" s="105" t="s">
        <v>1481</v>
      </c>
      <c r="E7" s="105" t="s">
        <v>1476</v>
      </c>
      <c r="M7" s="105" t="s">
        <v>1493</v>
      </c>
      <c r="N7" s="105" t="s">
        <v>1561</v>
      </c>
      <c r="O7" s="102">
        <v>44726</v>
      </c>
      <c r="P7" s="102">
        <v>44730</v>
      </c>
      <c r="Q7" s="102">
        <v>44724</v>
      </c>
      <c r="R7" s="102">
        <v>44730</v>
      </c>
      <c r="S7" s="103">
        <v>25</v>
      </c>
      <c r="T7" s="103">
        <v>5</v>
      </c>
      <c r="U7" s="103">
        <v>0.8</v>
      </c>
      <c r="V7" s="103">
        <v>0</v>
      </c>
      <c r="W7" s="103">
        <v>0</v>
      </c>
      <c r="X7" s="104">
        <v>0.2</v>
      </c>
      <c r="Y7" s="104">
        <v>0</v>
      </c>
      <c r="Z7" s="104">
        <v>0</v>
      </c>
      <c r="AC7" s="103">
        <v>0</v>
      </c>
    </row>
    <row r="8" spans="1:30">
      <c r="A8" s="105" t="s">
        <v>1558</v>
      </c>
      <c r="B8" s="105" t="s">
        <v>1476</v>
      </c>
      <c r="C8" s="105" t="s">
        <v>499</v>
      </c>
      <c r="D8" s="105" t="s">
        <v>1481</v>
      </c>
      <c r="E8" s="105" t="s">
        <v>1476</v>
      </c>
      <c r="M8" s="105" t="s">
        <v>1493</v>
      </c>
      <c r="N8" s="105" t="s">
        <v>1561</v>
      </c>
      <c r="O8" s="102">
        <v>44726</v>
      </c>
      <c r="P8" s="102">
        <v>44730</v>
      </c>
      <c r="Q8" s="102">
        <v>44731</v>
      </c>
      <c r="R8" s="102">
        <v>44737</v>
      </c>
      <c r="S8" s="103">
        <v>26</v>
      </c>
      <c r="T8" s="103">
        <v>6</v>
      </c>
      <c r="U8" s="103">
        <v>0</v>
      </c>
      <c r="V8" s="103">
        <v>0</v>
      </c>
      <c r="W8" s="103">
        <v>0</v>
      </c>
      <c r="X8" s="104">
        <v>0.2</v>
      </c>
      <c r="Y8" s="104">
        <v>0</v>
      </c>
      <c r="Z8" s="104">
        <v>0</v>
      </c>
      <c r="AC8" s="103">
        <v>0</v>
      </c>
    </row>
    <row r="9" spans="1:30">
      <c r="A9" s="105" t="s">
        <v>1558</v>
      </c>
      <c r="B9" s="105" t="s">
        <v>1477</v>
      </c>
      <c r="C9" s="105" t="s">
        <v>499</v>
      </c>
      <c r="D9" s="105" t="s">
        <v>1481</v>
      </c>
      <c r="E9" s="105" t="s">
        <v>1477</v>
      </c>
      <c r="M9" s="105" t="s">
        <v>1494</v>
      </c>
      <c r="N9" s="105" t="s">
        <v>1561</v>
      </c>
      <c r="O9" s="102">
        <v>44758</v>
      </c>
      <c r="P9" s="102">
        <v>44758</v>
      </c>
      <c r="Q9" s="102">
        <v>44752</v>
      </c>
      <c r="R9" s="102">
        <v>44758</v>
      </c>
      <c r="S9" s="103">
        <v>29</v>
      </c>
      <c r="T9" s="103">
        <v>9</v>
      </c>
      <c r="U9" s="103">
        <v>0</v>
      </c>
      <c r="V9" s="103">
        <v>0</v>
      </c>
      <c r="W9" s="103">
        <v>0</v>
      </c>
      <c r="X9" s="104">
        <v>0.2</v>
      </c>
      <c r="Y9" s="104">
        <v>0</v>
      </c>
      <c r="Z9" s="104">
        <v>0</v>
      </c>
      <c r="AC9" s="103">
        <v>0</v>
      </c>
    </row>
    <row r="10" spans="1:30">
      <c r="A10" s="105" t="s">
        <v>1558</v>
      </c>
      <c r="B10" s="105" t="s">
        <v>1495</v>
      </c>
      <c r="C10" s="105" t="s">
        <v>499</v>
      </c>
      <c r="D10" s="105" t="s">
        <v>1481</v>
      </c>
      <c r="E10" s="105" t="s">
        <v>1495</v>
      </c>
      <c r="M10" s="105" t="s">
        <v>1496</v>
      </c>
      <c r="N10" s="105" t="s">
        <v>1561</v>
      </c>
      <c r="O10" s="102">
        <v>44794</v>
      </c>
      <c r="P10" s="102">
        <v>44819</v>
      </c>
      <c r="Q10" s="102">
        <v>44794</v>
      </c>
      <c r="R10" s="102">
        <v>44800</v>
      </c>
      <c r="S10" s="103">
        <v>35</v>
      </c>
      <c r="T10" s="103">
        <v>15</v>
      </c>
      <c r="U10" s="103">
        <v>1</v>
      </c>
      <c r="V10" s="103">
        <v>0</v>
      </c>
      <c r="W10" s="103">
        <v>0</v>
      </c>
      <c r="X10" s="104">
        <v>0.2</v>
      </c>
      <c r="Y10" s="104">
        <v>0</v>
      </c>
      <c r="Z10" s="104">
        <v>0</v>
      </c>
      <c r="AC10" s="103">
        <v>0</v>
      </c>
    </row>
    <row r="11" spans="1:30">
      <c r="A11" s="105" t="s">
        <v>1558</v>
      </c>
      <c r="B11" s="105" t="s">
        <v>1495</v>
      </c>
      <c r="C11" s="105" t="s">
        <v>499</v>
      </c>
      <c r="D11" s="105" t="s">
        <v>1481</v>
      </c>
      <c r="E11" s="105" t="s">
        <v>1495</v>
      </c>
      <c r="M11" s="105" t="s">
        <v>1496</v>
      </c>
      <c r="N11" s="105" t="s">
        <v>1561</v>
      </c>
      <c r="O11" s="102">
        <v>44794</v>
      </c>
      <c r="P11" s="102">
        <v>44819</v>
      </c>
      <c r="Q11" s="102">
        <v>44801</v>
      </c>
      <c r="R11" s="102">
        <v>44807</v>
      </c>
      <c r="S11" s="103">
        <v>36</v>
      </c>
      <c r="T11" s="103">
        <v>16</v>
      </c>
      <c r="U11" s="103">
        <v>1</v>
      </c>
      <c r="V11" s="103">
        <v>0</v>
      </c>
      <c r="W11" s="103">
        <v>0</v>
      </c>
      <c r="X11" s="104">
        <v>0.2</v>
      </c>
      <c r="Y11" s="104">
        <v>0</v>
      </c>
      <c r="Z11" s="104">
        <v>0</v>
      </c>
      <c r="AC11" s="103">
        <v>0</v>
      </c>
    </row>
    <row r="12" spans="1:30">
      <c r="A12" s="105" t="s">
        <v>1558</v>
      </c>
      <c r="B12" s="105" t="s">
        <v>1495</v>
      </c>
      <c r="C12" s="105" t="s">
        <v>499</v>
      </c>
      <c r="D12" s="105" t="s">
        <v>1481</v>
      </c>
      <c r="E12" s="105" t="s">
        <v>1495</v>
      </c>
      <c r="M12" s="105" t="s">
        <v>1496</v>
      </c>
      <c r="N12" s="105" t="s">
        <v>1561</v>
      </c>
      <c r="O12" s="102">
        <v>44794</v>
      </c>
      <c r="P12" s="102">
        <v>44819</v>
      </c>
      <c r="Q12" s="102">
        <v>44808</v>
      </c>
      <c r="R12" s="102">
        <v>44814</v>
      </c>
      <c r="S12" s="103">
        <v>37</v>
      </c>
      <c r="T12" s="103">
        <v>17</v>
      </c>
      <c r="U12" s="103">
        <v>0.8</v>
      </c>
      <c r="V12" s="103">
        <v>0</v>
      </c>
      <c r="W12" s="103">
        <v>0</v>
      </c>
      <c r="X12" s="104">
        <v>0.2</v>
      </c>
      <c r="Y12" s="104">
        <v>0</v>
      </c>
      <c r="Z12" s="104">
        <v>0</v>
      </c>
      <c r="AC12" s="103">
        <v>0</v>
      </c>
    </row>
    <row r="13" spans="1:30">
      <c r="A13" s="105" t="s">
        <v>1558</v>
      </c>
      <c r="B13" s="105" t="s">
        <v>1495</v>
      </c>
      <c r="C13" s="105" t="s">
        <v>499</v>
      </c>
      <c r="D13" s="105" t="s">
        <v>1481</v>
      </c>
      <c r="E13" s="105" t="s">
        <v>1495</v>
      </c>
      <c r="M13" s="105" t="s">
        <v>1496</v>
      </c>
      <c r="N13" s="105" t="s">
        <v>1561</v>
      </c>
      <c r="O13" s="102">
        <v>44794</v>
      </c>
      <c r="P13" s="102">
        <v>44819</v>
      </c>
      <c r="Q13" s="102">
        <v>44815</v>
      </c>
      <c r="R13" s="102">
        <v>44821</v>
      </c>
      <c r="S13" s="103">
        <v>38</v>
      </c>
      <c r="T13" s="103">
        <v>18</v>
      </c>
      <c r="U13" s="103">
        <v>0.60000000000000009</v>
      </c>
      <c r="V13" s="103">
        <v>0</v>
      </c>
      <c r="W13" s="103">
        <v>0</v>
      </c>
      <c r="X13" s="104">
        <v>0.2</v>
      </c>
      <c r="Y13" s="104">
        <v>0</v>
      </c>
      <c r="Z13" s="104">
        <v>0</v>
      </c>
      <c r="AC13" s="103">
        <v>0</v>
      </c>
    </row>
    <row r="14" spans="1:30">
      <c r="A14" s="105" t="s">
        <v>1558</v>
      </c>
      <c r="B14" s="105" t="s">
        <v>1497</v>
      </c>
      <c r="C14" s="105" t="s">
        <v>499</v>
      </c>
      <c r="D14" s="105" t="s">
        <v>1481</v>
      </c>
      <c r="E14" s="105" t="s">
        <v>1497</v>
      </c>
      <c r="M14" s="105" t="s">
        <v>1498</v>
      </c>
      <c r="N14" s="105" t="s">
        <v>1464</v>
      </c>
      <c r="O14" s="102">
        <v>44723</v>
      </c>
      <c r="P14" s="102">
        <v>44723</v>
      </c>
      <c r="Q14" s="102">
        <v>44717</v>
      </c>
      <c r="R14" s="102">
        <v>44723</v>
      </c>
      <c r="S14" s="103">
        <v>24</v>
      </c>
      <c r="T14" s="103">
        <v>4</v>
      </c>
      <c r="U14" s="103">
        <v>0</v>
      </c>
      <c r="V14" s="103">
        <v>0</v>
      </c>
      <c r="W14" s="103">
        <v>0</v>
      </c>
      <c r="X14" s="104">
        <v>1</v>
      </c>
      <c r="Y14" s="104">
        <v>0</v>
      </c>
      <c r="Z14" s="104">
        <v>0</v>
      </c>
      <c r="AC14" s="103">
        <v>0</v>
      </c>
    </row>
    <row r="15" spans="1:30">
      <c r="A15" s="105" t="s">
        <v>1558</v>
      </c>
      <c r="B15" s="105" t="s">
        <v>1478</v>
      </c>
      <c r="C15" s="105" t="s">
        <v>499</v>
      </c>
      <c r="D15" s="105" t="s">
        <v>1482</v>
      </c>
      <c r="E15" s="105" t="s">
        <v>1478</v>
      </c>
      <c r="M15" s="105" t="s">
        <v>1499</v>
      </c>
      <c r="N15" s="105" t="s">
        <v>1559</v>
      </c>
      <c r="O15" s="102">
        <v>44827</v>
      </c>
      <c r="P15" s="102">
        <v>44831</v>
      </c>
      <c r="Q15" s="102">
        <v>44822</v>
      </c>
      <c r="R15" s="102">
        <v>44828</v>
      </c>
      <c r="S15" s="103">
        <v>39</v>
      </c>
      <c r="T15" s="103">
        <v>19</v>
      </c>
      <c r="U15" s="103">
        <v>1</v>
      </c>
      <c r="V15" s="103">
        <v>0</v>
      </c>
      <c r="W15" s="103">
        <v>0</v>
      </c>
      <c r="X15" s="104">
        <v>1</v>
      </c>
      <c r="Y15" s="104">
        <v>0</v>
      </c>
      <c r="Z15" s="104">
        <v>0</v>
      </c>
      <c r="AC15" s="103">
        <v>0</v>
      </c>
    </row>
    <row r="16" spans="1:30">
      <c r="A16" s="105" t="s">
        <v>1558</v>
      </c>
      <c r="B16" s="105" t="s">
        <v>1478</v>
      </c>
      <c r="C16" s="105" t="s">
        <v>499</v>
      </c>
      <c r="D16" s="105" t="s">
        <v>1482</v>
      </c>
      <c r="E16" s="105" t="s">
        <v>1478</v>
      </c>
      <c r="M16" s="105" t="s">
        <v>1499</v>
      </c>
      <c r="N16" s="105" t="s">
        <v>1475</v>
      </c>
      <c r="O16" s="102">
        <v>44827</v>
      </c>
      <c r="P16" s="102">
        <v>44831</v>
      </c>
      <c r="Q16" s="102">
        <v>44822</v>
      </c>
      <c r="R16" s="102">
        <v>44828</v>
      </c>
      <c r="S16" s="103">
        <v>39</v>
      </c>
      <c r="T16" s="103">
        <v>19</v>
      </c>
      <c r="U16" s="103">
        <v>1</v>
      </c>
      <c r="V16" s="103">
        <v>0</v>
      </c>
      <c r="W16" s="103">
        <v>0</v>
      </c>
      <c r="X16" s="104">
        <v>1</v>
      </c>
      <c r="Y16" s="104">
        <v>0</v>
      </c>
      <c r="Z16" s="104">
        <v>0</v>
      </c>
      <c r="AC16" s="103">
        <v>0</v>
      </c>
    </row>
    <row r="17" spans="1:29">
      <c r="A17" s="105" t="s">
        <v>1558</v>
      </c>
      <c r="B17" s="105" t="s">
        <v>1478</v>
      </c>
      <c r="C17" s="105" t="s">
        <v>499</v>
      </c>
      <c r="D17" s="105" t="s">
        <v>1482</v>
      </c>
      <c r="E17" s="105" t="s">
        <v>1478</v>
      </c>
      <c r="M17" s="105" t="s">
        <v>1499</v>
      </c>
      <c r="N17" s="105" t="s">
        <v>1559</v>
      </c>
      <c r="O17" s="102">
        <v>44827</v>
      </c>
      <c r="P17" s="102">
        <v>44831</v>
      </c>
      <c r="Q17" s="102">
        <v>44829</v>
      </c>
      <c r="R17" s="102">
        <v>44835</v>
      </c>
      <c r="S17" s="103">
        <v>40</v>
      </c>
      <c r="T17" s="103">
        <v>20</v>
      </c>
      <c r="U17" s="103">
        <v>2</v>
      </c>
      <c r="V17" s="103">
        <v>0</v>
      </c>
      <c r="W17" s="103">
        <v>0</v>
      </c>
      <c r="X17" s="104">
        <v>1</v>
      </c>
      <c r="Y17" s="104">
        <v>0</v>
      </c>
      <c r="Z17" s="104">
        <v>0</v>
      </c>
      <c r="AC17" s="103">
        <v>0</v>
      </c>
    </row>
    <row r="18" spans="1:29">
      <c r="A18" s="105" t="s">
        <v>1558</v>
      </c>
      <c r="B18" s="105" t="s">
        <v>1478</v>
      </c>
      <c r="C18" s="105" t="s">
        <v>499</v>
      </c>
      <c r="D18" s="105" t="s">
        <v>1482</v>
      </c>
      <c r="E18" s="105" t="s">
        <v>1478</v>
      </c>
      <c r="M18" s="105" t="s">
        <v>1499</v>
      </c>
      <c r="N18" s="105" t="s">
        <v>1475</v>
      </c>
      <c r="O18" s="102">
        <v>44827</v>
      </c>
      <c r="P18" s="102">
        <v>44831</v>
      </c>
      <c r="Q18" s="102">
        <v>44829</v>
      </c>
      <c r="R18" s="102">
        <v>44835</v>
      </c>
      <c r="S18" s="103">
        <v>40</v>
      </c>
      <c r="T18" s="103">
        <v>20</v>
      </c>
      <c r="U18" s="103">
        <v>2</v>
      </c>
      <c r="V18" s="103">
        <v>0</v>
      </c>
      <c r="W18" s="103">
        <v>0</v>
      </c>
      <c r="X18" s="104">
        <v>1</v>
      </c>
      <c r="Y18" s="104">
        <v>0</v>
      </c>
      <c r="Z18" s="104">
        <v>0</v>
      </c>
      <c r="AC18" s="103">
        <v>0</v>
      </c>
    </row>
    <row r="19" spans="1:29">
      <c r="A19" s="105" t="s">
        <v>1558</v>
      </c>
      <c r="B19" s="105" t="s">
        <v>1479</v>
      </c>
      <c r="C19" s="105" t="s">
        <v>499</v>
      </c>
      <c r="D19" s="105" t="s">
        <v>1482</v>
      </c>
      <c r="E19" s="105" t="s">
        <v>1479</v>
      </c>
      <c r="M19" s="105" t="s">
        <v>1500</v>
      </c>
      <c r="N19" s="105" t="s">
        <v>1480</v>
      </c>
      <c r="O19" s="102">
        <v>44832</v>
      </c>
      <c r="P19" s="102">
        <v>44839</v>
      </c>
      <c r="Q19" s="102">
        <v>44829</v>
      </c>
      <c r="R19" s="102">
        <v>44835</v>
      </c>
      <c r="S19" s="103">
        <v>40</v>
      </c>
      <c r="T19" s="103">
        <v>20</v>
      </c>
      <c r="U19" s="103">
        <v>3</v>
      </c>
      <c r="V19" s="103">
        <v>0</v>
      </c>
      <c r="W19" s="103">
        <v>0</v>
      </c>
      <c r="X19" s="104">
        <v>1</v>
      </c>
      <c r="Y19" s="104">
        <v>0</v>
      </c>
      <c r="Z19" s="104">
        <v>0</v>
      </c>
      <c r="AC19" s="103">
        <v>0</v>
      </c>
    </row>
    <row r="20" spans="1:29">
      <c r="A20" s="105" t="s">
        <v>1558</v>
      </c>
      <c r="B20" s="105" t="s">
        <v>1479</v>
      </c>
      <c r="C20" s="105" t="s">
        <v>499</v>
      </c>
      <c r="D20" s="105" t="s">
        <v>1482</v>
      </c>
      <c r="E20" s="105" t="s">
        <v>1479</v>
      </c>
      <c r="M20" s="105" t="s">
        <v>1500</v>
      </c>
      <c r="N20" s="105" t="s">
        <v>1480</v>
      </c>
      <c r="O20" s="102">
        <v>44832</v>
      </c>
      <c r="P20" s="102">
        <v>44839</v>
      </c>
      <c r="Q20" s="102">
        <v>44836</v>
      </c>
      <c r="R20" s="102">
        <v>44842</v>
      </c>
      <c r="S20" s="103">
        <v>41</v>
      </c>
      <c r="T20" s="103">
        <v>21</v>
      </c>
      <c r="U20" s="103">
        <v>2</v>
      </c>
      <c r="V20" s="103">
        <v>0</v>
      </c>
      <c r="W20" s="103">
        <v>0</v>
      </c>
      <c r="X20" s="104">
        <v>1</v>
      </c>
      <c r="Y20" s="104">
        <v>0</v>
      </c>
      <c r="Z20" s="104">
        <v>0</v>
      </c>
      <c r="AC20" s="103">
        <v>0</v>
      </c>
    </row>
    <row r="21" spans="1:29">
      <c r="A21" s="105" t="s">
        <v>1558</v>
      </c>
      <c r="B21" s="105" t="s">
        <v>1501</v>
      </c>
      <c r="C21" s="105" t="s">
        <v>499</v>
      </c>
      <c r="D21" s="105" t="s">
        <v>1482</v>
      </c>
      <c r="E21" s="105" t="s">
        <v>1501</v>
      </c>
      <c r="M21" s="105" t="s">
        <v>1502</v>
      </c>
      <c r="N21" s="105" t="s">
        <v>1562</v>
      </c>
      <c r="O21" s="102">
        <v>44852</v>
      </c>
      <c r="P21" s="102">
        <v>44852</v>
      </c>
      <c r="Q21" s="102">
        <v>44850</v>
      </c>
      <c r="R21" s="102">
        <v>44856</v>
      </c>
      <c r="S21" s="103">
        <v>43</v>
      </c>
      <c r="T21" s="103">
        <v>23</v>
      </c>
      <c r="U21" s="103">
        <v>1</v>
      </c>
      <c r="V21" s="103">
        <v>0</v>
      </c>
      <c r="W21" s="103">
        <v>0</v>
      </c>
      <c r="X21" s="104">
        <v>1</v>
      </c>
      <c r="Y21" s="104">
        <v>0</v>
      </c>
      <c r="Z21" s="104">
        <v>0</v>
      </c>
      <c r="AC21" s="103">
        <v>0</v>
      </c>
    </row>
    <row r="22" spans="1:29">
      <c r="A22" s="105" t="s">
        <v>1558</v>
      </c>
      <c r="B22" s="105" t="s">
        <v>1501</v>
      </c>
      <c r="C22" s="105" t="s">
        <v>499</v>
      </c>
      <c r="D22" s="105" t="s">
        <v>1482</v>
      </c>
      <c r="E22" s="105" t="s">
        <v>1501</v>
      </c>
      <c r="M22" s="105" t="s">
        <v>1502</v>
      </c>
      <c r="N22" s="105" t="s">
        <v>1563</v>
      </c>
      <c r="O22" s="102">
        <v>44852</v>
      </c>
      <c r="P22" s="102">
        <v>44852</v>
      </c>
      <c r="Q22" s="102">
        <v>44850</v>
      </c>
      <c r="R22" s="102">
        <v>44856</v>
      </c>
      <c r="S22" s="103">
        <v>43</v>
      </c>
      <c r="T22" s="103">
        <v>23</v>
      </c>
      <c r="U22" s="103">
        <v>1</v>
      </c>
      <c r="V22" s="103">
        <v>0</v>
      </c>
      <c r="W22" s="103">
        <v>0</v>
      </c>
      <c r="X22" s="104">
        <v>1</v>
      </c>
      <c r="Y22" s="104">
        <v>0</v>
      </c>
      <c r="Z22" s="104">
        <v>0</v>
      </c>
      <c r="AC22" s="103">
        <v>0</v>
      </c>
    </row>
    <row r="23" spans="1:29">
      <c r="A23" s="105" t="s">
        <v>1558</v>
      </c>
      <c r="B23" s="105" t="s">
        <v>1503</v>
      </c>
      <c r="C23" s="105" t="s">
        <v>499</v>
      </c>
      <c r="D23" s="105" t="s">
        <v>1482</v>
      </c>
      <c r="E23" s="105" t="s">
        <v>1503</v>
      </c>
      <c r="M23" s="105" t="s">
        <v>1504</v>
      </c>
      <c r="N23" s="105" t="s">
        <v>1464</v>
      </c>
      <c r="O23" s="102">
        <v>44852</v>
      </c>
      <c r="P23" s="102">
        <v>44852</v>
      </c>
      <c r="Q23" s="102">
        <v>44850</v>
      </c>
      <c r="R23" s="102">
        <v>44856</v>
      </c>
      <c r="S23" s="103">
        <v>43</v>
      </c>
      <c r="T23" s="103">
        <v>23</v>
      </c>
      <c r="U23" s="103">
        <v>0</v>
      </c>
      <c r="V23" s="103">
        <v>0</v>
      </c>
      <c r="W23" s="103">
        <v>0</v>
      </c>
      <c r="X23" s="104">
        <v>0</v>
      </c>
      <c r="Y23" s="104">
        <v>0</v>
      </c>
      <c r="Z23" s="104">
        <v>0</v>
      </c>
      <c r="AC23" s="103">
        <v>0</v>
      </c>
    </row>
    <row r="24" spans="1:29">
      <c r="A24" s="105" t="s">
        <v>1558</v>
      </c>
      <c r="B24" s="105" t="s">
        <v>1485</v>
      </c>
      <c r="C24" s="105" t="s">
        <v>794</v>
      </c>
      <c r="D24" s="105" t="s">
        <v>1484</v>
      </c>
      <c r="E24" s="105" t="s">
        <v>1485</v>
      </c>
      <c r="M24" s="105" t="s">
        <v>1505</v>
      </c>
      <c r="N24" s="105" t="s">
        <v>1464</v>
      </c>
      <c r="O24" s="102">
        <v>44705</v>
      </c>
      <c r="P24" s="102">
        <v>44723</v>
      </c>
      <c r="Q24" s="102">
        <v>44703</v>
      </c>
      <c r="R24" s="102">
        <v>44709</v>
      </c>
      <c r="S24" s="103">
        <v>22</v>
      </c>
      <c r="T24" s="103">
        <v>2</v>
      </c>
      <c r="U24" s="103">
        <v>4</v>
      </c>
      <c r="V24" s="103">
        <v>4</v>
      </c>
      <c r="W24" s="103">
        <v>0</v>
      </c>
      <c r="X24" s="104">
        <v>1</v>
      </c>
      <c r="Y24" s="104">
        <v>0.66666666666666663</v>
      </c>
      <c r="Z24" s="104">
        <v>0.7</v>
      </c>
      <c r="AC24" s="103">
        <v>4</v>
      </c>
    </row>
    <row r="25" spans="1:29">
      <c r="A25" s="105" t="s">
        <v>1558</v>
      </c>
      <c r="B25" s="105" t="s">
        <v>1485</v>
      </c>
      <c r="C25" s="105" t="s">
        <v>794</v>
      </c>
      <c r="D25" s="105" t="s">
        <v>1484</v>
      </c>
      <c r="E25" s="105" t="s">
        <v>1485</v>
      </c>
      <c r="M25" s="105" t="s">
        <v>1505</v>
      </c>
      <c r="N25" s="105" t="s">
        <v>1464</v>
      </c>
      <c r="O25" s="102">
        <v>44705</v>
      </c>
      <c r="P25" s="102">
        <v>44723</v>
      </c>
      <c r="Q25" s="102">
        <v>44710</v>
      </c>
      <c r="R25" s="102">
        <v>44716</v>
      </c>
      <c r="S25" s="103">
        <v>23</v>
      </c>
      <c r="T25" s="103">
        <v>3</v>
      </c>
      <c r="U25" s="103">
        <v>4</v>
      </c>
      <c r="V25" s="103">
        <v>4</v>
      </c>
      <c r="W25" s="103">
        <v>0</v>
      </c>
      <c r="X25" s="104">
        <v>1</v>
      </c>
      <c r="Y25" s="104">
        <v>0.66666666666666663</v>
      </c>
      <c r="Z25" s="104">
        <v>0.7</v>
      </c>
      <c r="AC25" s="103">
        <v>4</v>
      </c>
    </row>
    <row r="26" spans="1:29">
      <c r="A26" s="105" t="s">
        <v>1558</v>
      </c>
      <c r="B26" s="105" t="s">
        <v>1485</v>
      </c>
      <c r="C26" s="105" t="s">
        <v>794</v>
      </c>
      <c r="D26" s="105" t="s">
        <v>1484</v>
      </c>
      <c r="E26" s="105" t="s">
        <v>1485</v>
      </c>
      <c r="M26" s="105" t="s">
        <v>1505</v>
      </c>
      <c r="N26" s="105" t="s">
        <v>1464</v>
      </c>
      <c r="O26" s="102">
        <v>44705</v>
      </c>
      <c r="P26" s="102">
        <v>44723</v>
      </c>
      <c r="Q26" s="102">
        <v>44717</v>
      </c>
      <c r="R26" s="102">
        <v>44723</v>
      </c>
      <c r="S26" s="103">
        <v>24</v>
      </c>
      <c r="T26" s="103">
        <v>4</v>
      </c>
      <c r="U26" s="103">
        <v>4</v>
      </c>
      <c r="V26" s="103">
        <v>0</v>
      </c>
      <c r="W26" s="103">
        <v>0</v>
      </c>
      <c r="X26" s="104">
        <v>1</v>
      </c>
      <c r="Y26" s="104">
        <v>0.66666666666666663</v>
      </c>
      <c r="Z26" s="104">
        <v>0.7</v>
      </c>
      <c r="AC26" s="103">
        <v>0.39999999999999858</v>
      </c>
    </row>
    <row r="27" spans="1:29">
      <c r="A27" s="105" t="s">
        <v>1560</v>
      </c>
      <c r="B27" s="105" t="s">
        <v>1487</v>
      </c>
      <c r="C27" s="105" t="s">
        <v>794</v>
      </c>
      <c r="D27" s="105" t="s">
        <v>1484</v>
      </c>
      <c r="E27" s="105" t="s">
        <v>1486</v>
      </c>
      <c r="F27" s="105" t="s">
        <v>1487</v>
      </c>
      <c r="M27" s="105" t="s">
        <v>1506</v>
      </c>
      <c r="N27" s="105" t="s">
        <v>1464</v>
      </c>
      <c r="O27" s="102">
        <v>44711</v>
      </c>
      <c r="P27" s="102">
        <v>44722</v>
      </c>
      <c r="Q27" s="102">
        <v>44710</v>
      </c>
      <c r="R27" s="102">
        <v>44716</v>
      </c>
      <c r="S27" s="103">
        <v>23</v>
      </c>
      <c r="T27" s="103">
        <v>3</v>
      </c>
      <c r="U27" s="103">
        <v>4</v>
      </c>
      <c r="V27" s="103">
        <v>4</v>
      </c>
      <c r="W27" s="103">
        <v>0</v>
      </c>
      <c r="X27" s="104">
        <v>1</v>
      </c>
      <c r="Y27" s="104">
        <v>0.5</v>
      </c>
      <c r="Z27" s="104">
        <v>0.5</v>
      </c>
      <c r="AC27" s="103">
        <v>4</v>
      </c>
    </row>
    <row r="28" spans="1:29">
      <c r="A28" s="105" t="s">
        <v>1560</v>
      </c>
      <c r="B28" s="105" t="s">
        <v>1487</v>
      </c>
      <c r="C28" s="105" t="s">
        <v>794</v>
      </c>
      <c r="D28" s="105" t="s">
        <v>1484</v>
      </c>
      <c r="E28" s="105" t="s">
        <v>1486</v>
      </c>
      <c r="F28" s="105" t="s">
        <v>1487</v>
      </c>
      <c r="M28" s="105" t="s">
        <v>1506</v>
      </c>
      <c r="N28" s="105" t="s">
        <v>1464</v>
      </c>
      <c r="O28" s="102">
        <v>44711</v>
      </c>
      <c r="P28" s="102">
        <v>44722</v>
      </c>
      <c r="Q28" s="102">
        <v>44717</v>
      </c>
      <c r="R28" s="102">
        <v>44723</v>
      </c>
      <c r="S28" s="103">
        <v>24</v>
      </c>
      <c r="T28" s="103">
        <v>4</v>
      </c>
      <c r="U28" s="103">
        <v>4</v>
      </c>
      <c r="V28" s="103">
        <v>0</v>
      </c>
      <c r="W28" s="103">
        <v>0</v>
      </c>
      <c r="X28" s="104">
        <v>1</v>
      </c>
      <c r="Y28" s="104">
        <v>0.5</v>
      </c>
      <c r="Z28" s="104">
        <v>0.5</v>
      </c>
      <c r="AC28" s="103">
        <v>0</v>
      </c>
    </row>
    <row r="29" spans="1:29">
      <c r="A29" s="105" t="s">
        <v>1560</v>
      </c>
      <c r="B29" s="105" t="s">
        <v>1488</v>
      </c>
      <c r="C29" s="105" t="s">
        <v>794</v>
      </c>
      <c r="D29" s="105" t="s">
        <v>1484</v>
      </c>
      <c r="E29" s="105" t="s">
        <v>1486</v>
      </c>
      <c r="F29" s="105" t="s">
        <v>1488</v>
      </c>
      <c r="M29" s="105" t="s">
        <v>1507</v>
      </c>
      <c r="N29" s="105" t="s">
        <v>1564</v>
      </c>
      <c r="O29" s="102">
        <v>44711</v>
      </c>
      <c r="P29" s="102">
        <v>44722</v>
      </c>
      <c r="Q29" s="102">
        <v>44710</v>
      </c>
      <c r="R29" s="102">
        <v>44716</v>
      </c>
      <c r="S29" s="103">
        <v>23</v>
      </c>
      <c r="T29" s="103">
        <v>3</v>
      </c>
      <c r="U29" s="103">
        <v>4.8</v>
      </c>
      <c r="V29" s="103">
        <v>4.8</v>
      </c>
      <c r="W29" s="103">
        <v>0</v>
      </c>
      <c r="X29" s="104">
        <v>1.2</v>
      </c>
      <c r="Y29" s="104">
        <v>0.5</v>
      </c>
      <c r="Z29" s="104">
        <v>0.45</v>
      </c>
      <c r="AC29" s="103">
        <v>4.32</v>
      </c>
    </row>
    <row r="30" spans="1:29">
      <c r="A30" s="105" t="s">
        <v>1560</v>
      </c>
      <c r="B30" s="105" t="s">
        <v>1488</v>
      </c>
      <c r="C30" s="105" t="s">
        <v>794</v>
      </c>
      <c r="D30" s="105" t="s">
        <v>1484</v>
      </c>
      <c r="E30" s="105" t="s">
        <v>1486</v>
      </c>
      <c r="F30" s="105" t="s">
        <v>1488</v>
      </c>
      <c r="M30" s="105" t="s">
        <v>1507</v>
      </c>
      <c r="N30" s="105" t="s">
        <v>1475</v>
      </c>
      <c r="O30" s="102">
        <v>44711</v>
      </c>
      <c r="P30" s="102">
        <v>44722</v>
      </c>
      <c r="Q30" s="102">
        <v>44710</v>
      </c>
      <c r="R30" s="102">
        <v>44716</v>
      </c>
      <c r="S30" s="103">
        <v>23</v>
      </c>
      <c r="T30" s="103">
        <v>3</v>
      </c>
      <c r="U30" s="103">
        <v>2</v>
      </c>
      <c r="V30" s="103">
        <v>2</v>
      </c>
      <c r="W30" s="103">
        <v>0</v>
      </c>
      <c r="X30" s="104">
        <v>0.5</v>
      </c>
      <c r="Y30" s="104">
        <v>0.5</v>
      </c>
      <c r="Z30" s="104">
        <v>0.45</v>
      </c>
      <c r="AC30" s="103">
        <v>1.8</v>
      </c>
    </row>
    <row r="31" spans="1:29">
      <c r="A31" s="105" t="s">
        <v>1560</v>
      </c>
      <c r="B31" s="105" t="s">
        <v>1488</v>
      </c>
      <c r="C31" s="105" t="s">
        <v>794</v>
      </c>
      <c r="D31" s="105" t="s">
        <v>1484</v>
      </c>
      <c r="E31" s="105" t="s">
        <v>1486</v>
      </c>
      <c r="F31" s="105" t="s">
        <v>1488</v>
      </c>
      <c r="M31" s="105" t="s">
        <v>1507</v>
      </c>
      <c r="N31" s="105" t="s">
        <v>1564</v>
      </c>
      <c r="O31" s="102">
        <v>44711</v>
      </c>
      <c r="P31" s="102">
        <v>44722</v>
      </c>
      <c r="Q31" s="102">
        <v>44717</v>
      </c>
      <c r="R31" s="102">
        <v>44723</v>
      </c>
      <c r="S31" s="103">
        <v>24</v>
      </c>
      <c r="T31" s="103">
        <v>4</v>
      </c>
      <c r="U31" s="103">
        <v>4.8</v>
      </c>
      <c r="V31" s="103">
        <v>0</v>
      </c>
      <c r="W31" s="103">
        <v>0</v>
      </c>
      <c r="X31" s="104">
        <v>1.2</v>
      </c>
      <c r="Y31" s="104">
        <v>0.5</v>
      </c>
      <c r="Z31" s="104">
        <v>0.45</v>
      </c>
      <c r="AC31" s="103">
        <v>0</v>
      </c>
    </row>
    <row r="32" spans="1:29">
      <c r="A32" s="105" t="s">
        <v>1560</v>
      </c>
      <c r="B32" s="105" t="s">
        <v>1488</v>
      </c>
      <c r="C32" s="105" t="s">
        <v>794</v>
      </c>
      <c r="D32" s="105" t="s">
        <v>1484</v>
      </c>
      <c r="E32" s="105" t="s">
        <v>1486</v>
      </c>
      <c r="F32" s="105" t="s">
        <v>1488</v>
      </c>
      <c r="M32" s="105" t="s">
        <v>1507</v>
      </c>
      <c r="N32" s="105" t="s">
        <v>1475</v>
      </c>
      <c r="O32" s="102">
        <v>44711</v>
      </c>
      <c r="P32" s="102">
        <v>44722</v>
      </c>
      <c r="Q32" s="102">
        <v>44717</v>
      </c>
      <c r="R32" s="102">
        <v>44723</v>
      </c>
      <c r="S32" s="103">
        <v>24</v>
      </c>
      <c r="T32" s="103">
        <v>4</v>
      </c>
      <c r="U32" s="103">
        <v>2</v>
      </c>
      <c r="V32" s="103">
        <v>0</v>
      </c>
      <c r="W32" s="103">
        <v>0</v>
      </c>
      <c r="X32" s="104">
        <v>0.5</v>
      </c>
      <c r="Y32" s="104">
        <v>0.5</v>
      </c>
      <c r="Z32" s="104">
        <v>0.45</v>
      </c>
      <c r="AC32" s="103">
        <v>0</v>
      </c>
    </row>
    <row r="33" spans="1:29">
      <c r="A33" s="105" t="s">
        <v>1558</v>
      </c>
      <c r="B33" s="105" t="s">
        <v>1508</v>
      </c>
      <c r="C33" s="105" t="s">
        <v>794</v>
      </c>
      <c r="D33" s="105" t="s">
        <v>1553</v>
      </c>
      <c r="E33" s="105" t="s">
        <v>1508</v>
      </c>
      <c r="M33" s="105" t="s">
        <v>1509</v>
      </c>
      <c r="N33" s="105" t="s">
        <v>1464</v>
      </c>
      <c r="O33" s="102">
        <v>44725</v>
      </c>
      <c r="P33" s="102">
        <v>44743</v>
      </c>
      <c r="Q33" s="102">
        <v>44724</v>
      </c>
      <c r="R33" s="102">
        <v>44730</v>
      </c>
      <c r="S33" s="103">
        <v>25</v>
      </c>
      <c r="T33" s="103">
        <v>5</v>
      </c>
      <c r="U33" s="103">
        <v>5</v>
      </c>
      <c r="V33" s="103">
        <v>0</v>
      </c>
      <c r="W33" s="103">
        <v>0</v>
      </c>
      <c r="X33" s="104">
        <v>1</v>
      </c>
      <c r="Y33" s="104">
        <v>0</v>
      </c>
      <c r="Z33" s="104">
        <v>0</v>
      </c>
      <c r="AC33" s="103">
        <v>0</v>
      </c>
    </row>
    <row r="34" spans="1:29">
      <c r="A34" s="105" t="s">
        <v>1558</v>
      </c>
      <c r="B34" s="105" t="s">
        <v>1508</v>
      </c>
      <c r="C34" s="105" t="s">
        <v>794</v>
      </c>
      <c r="D34" s="105" t="s">
        <v>1553</v>
      </c>
      <c r="E34" s="105" t="s">
        <v>1508</v>
      </c>
      <c r="M34" s="105" t="s">
        <v>1509</v>
      </c>
      <c r="N34" s="105" t="s">
        <v>1464</v>
      </c>
      <c r="O34" s="102">
        <v>44725</v>
      </c>
      <c r="P34" s="102">
        <v>44743</v>
      </c>
      <c r="Q34" s="102">
        <v>44731</v>
      </c>
      <c r="R34" s="102">
        <v>44737</v>
      </c>
      <c r="S34" s="103">
        <v>26</v>
      </c>
      <c r="T34" s="103">
        <v>6</v>
      </c>
      <c r="U34" s="103">
        <v>5</v>
      </c>
      <c r="V34" s="103">
        <v>0</v>
      </c>
      <c r="W34" s="103">
        <v>0</v>
      </c>
      <c r="X34" s="104">
        <v>1</v>
      </c>
      <c r="Y34" s="104">
        <v>0</v>
      </c>
      <c r="Z34" s="104">
        <v>0</v>
      </c>
      <c r="AC34" s="103">
        <v>0</v>
      </c>
    </row>
    <row r="35" spans="1:29">
      <c r="A35" s="105" t="s">
        <v>1558</v>
      </c>
      <c r="B35" s="105" t="s">
        <v>1508</v>
      </c>
      <c r="C35" s="105" t="s">
        <v>794</v>
      </c>
      <c r="D35" s="105" t="s">
        <v>1553</v>
      </c>
      <c r="E35" s="105" t="s">
        <v>1508</v>
      </c>
      <c r="M35" s="105" t="s">
        <v>1509</v>
      </c>
      <c r="N35" s="105" t="s">
        <v>1464</v>
      </c>
      <c r="O35" s="102">
        <v>44725</v>
      </c>
      <c r="P35" s="102">
        <v>44743</v>
      </c>
      <c r="Q35" s="102">
        <v>44738</v>
      </c>
      <c r="R35" s="102">
        <v>44744</v>
      </c>
      <c r="S35" s="103">
        <v>27</v>
      </c>
      <c r="T35" s="103">
        <v>7</v>
      </c>
      <c r="U35" s="103">
        <v>5</v>
      </c>
      <c r="V35" s="103">
        <v>0</v>
      </c>
      <c r="W35" s="103">
        <v>0</v>
      </c>
      <c r="X35" s="104">
        <v>1</v>
      </c>
      <c r="Y35" s="104">
        <v>0</v>
      </c>
      <c r="Z35" s="104">
        <v>0</v>
      </c>
      <c r="AC35" s="103">
        <v>0</v>
      </c>
    </row>
    <row r="36" spans="1:29">
      <c r="A36" s="105" t="s">
        <v>1560</v>
      </c>
      <c r="B36" s="105" t="s">
        <v>1511</v>
      </c>
      <c r="C36" s="105" t="s">
        <v>794</v>
      </c>
      <c r="D36" s="105" t="s">
        <v>1553</v>
      </c>
      <c r="E36" s="105" t="s">
        <v>1510</v>
      </c>
      <c r="F36" s="105" t="s">
        <v>1511</v>
      </c>
      <c r="M36" s="105" t="s">
        <v>1512</v>
      </c>
      <c r="N36" s="105" t="s">
        <v>1464</v>
      </c>
      <c r="O36" s="102">
        <v>44732</v>
      </c>
      <c r="P36" s="102">
        <v>44743</v>
      </c>
      <c r="Q36" s="102">
        <v>44731</v>
      </c>
      <c r="R36" s="102">
        <v>44737</v>
      </c>
      <c r="S36" s="103">
        <v>26</v>
      </c>
      <c r="T36" s="103">
        <v>6</v>
      </c>
      <c r="U36" s="103">
        <v>5</v>
      </c>
      <c r="V36" s="103">
        <v>0</v>
      </c>
      <c r="W36" s="103">
        <v>0</v>
      </c>
      <c r="X36" s="104">
        <v>1</v>
      </c>
      <c r="Y36" s="104">
        <v>0</v>
      </c>
      <c r="Z36" s="104">
        <v>0</v>
      </c>
      <c r="AC36" s="103">
        <v>0</v>
      </c>
    </row>
    <row r="37" spans="1:29">
      <c r="A37" s="105" t="s">
        <v>1560</v>
      </c>
      <c r="B37" s="105" t="s">
        <v>1511</v>
      </c>
      <c r="C37" s="105" t="s">
        <v>794</v>
      </c>
      <c r="D37" s="105" t="s">
        <v>1553</v>
      </c>
      <c r="E37" s="105" t="s">
        <v>1510</v>
      </c>
      <c r="F37" s="105" t="s">
        <v>1511</v>
      </c>
      <c r="M37" s="105" t="s">
        <v>1512</v>
      </c>
      <c r="N37" s="105" t="s">
        <v>1464</v>
      </c>
      <c r="O37" s="102">
        <v>44732</v>
      </c>
      <c r="P37" s="102">
        <v>44743</v>
      </c>
      <c r="Q37" s="102">
        <v>44738</v>
      </c>
      <c r="R37" s="102">
        <v>44744</v>
      </c>
      <c r="S37" s="103">
        <v>27</v>
      </c>
      <c r="T37" s="103">
        <v>7</v>
      </c>
      <c r="U37" s="103">
        <v>5</v>
      </c>
      <c r="V37" s="103">
        <v>0</v>
      </c>
      <c r="W37" s="103">
        <v>0</v>
      </c>
      <c r="X37" s="104">
        <v>1</v>
      </c>
      <c r="Y37" s="104">
        <v>0</v>
      </c>
      <c r="Z37" s="104">
        <v>0</v>
      </c>
      <c r="AC37" s="103">
        <v>0</v>
      </c>
    </row>
    <row r="38" spans="1:29">
      <c r="A38" s="105" t="s">
        <v>1560</v>
      </c>
      <c r="B38" s="105" t="s">
        <v>1513</v>
      </c>
      <c r="C38" s="105" t="s">
        <v>794</v>
      </c>
      <c r="D38" s="105" t="s">
        <v>1553</v>
      </c>
      <c r="E38" s="105" t="s">
        <v>1510</v>
      </c>
      <c r="F38" s="105" t="s">
        <v>1513</v>
      </c>
      <c r="M38" s="105" t="s">
        <v>1514</v>
      </c>
      <c r="N38" s="105" t="s">
        <v>1464</v>
      </c>
      <c r="O38" s="102">
        <v>44739</v>
      </c>
      <c r="P38" s="102">
        <v>44750</v>
      </c>
      <c r="Q38" s="102">
        <v>44738</v>
      </c>
      <c r="R38" s="102">
        <v>44744</v>
      </c>
      <c r="S38" s="103">
        <v>27</v>
      </c>
      <c r="T38" s="103">
        <v>7</v>
      </c>
      <c r="U38" s="103">
        <v>5</v>
      </c>
      <c r="V38" s="103">
        <v>0</v>
      </c>
      <c r="W38" s="103">
        <v>0</v>
      </c>
      <c r="X38" s="104">
        <v>1</v>
      </c>
      <c r="Y38" s="104">
        <v>0</v>
      </c>
      <c r="Z38" s="104">
        <v>0</v>
      </c>
      <c r="AC38" s="103">
        <v>0</v>
      </c>
    </row>
    <row r="39" spans="1:29">
      <c r="A39" s="105" t="s">
        <v>1560</v>
      </c>
      <c r="B39" s="105" t="s">
        <v>1513</v>
      </c>
      <c r="C39" s="105" t="s">
        <v>794</v>
      </c>
      <c r="D39" s="105" t="s">
        <v>1553</v>
      </c>
      <c r="E39" s="105" t="s">
        <v>1510</v>
      </c>
      <c r="F39" s="105" t="s">
        <v>1513</v>
      </c>
      <c r="M39" s="105" t="s">
        <v>1514</v>
      </c>
      <c r="N39" s="105" t="s">
        <v>1464</v>
      </c>
      <c r="O39" s="102">
        <v>44739</v>
      </c>
      <c r="P39" s="102">
        <v>44750</v>
      </c>
      <c r="Q39" s="102">
        <v>44745</v>
      </c>
      <c r="R39" s="102">
        <v>44751</v>
      </c>
      <c r="S39" s="103">
        <v>28</v>
      </c>
      <c r="T39" s="103">
        <v>8</v>
      </c>
      <c r="U39" s="103">
        <v>5</v>
      </c>
      <c r="V39" s="103">
        <v>0</v>
      </c>
      <c r="W39" s="103">
        <v>0</v>
      </c>
      <c r="X39" s="104">
        <v>1</v>
      </c>
      <c r="Y39" s="104">
        <v>0</v>
      </c>
      <c r="Z39" s="104">
        <v>0</v>
      </c>
      <c r="AC39" s="103">
        <v>0</v>
      </c>
    </row>
    <row r="40" spans="1:29">
      <c r="A40" s="105" t="s">
        <v>1560</v>
      </c>
      <c r="B40" s="105" t="s">
        <v>1515</v>
      </c>
      <c r="C40" s="105" t="s">
        <v>794</v>
      </c>
      <c r="D40" s="105" t="s">
        <v>1553</v>
      </c>
      <c r="E40" s="105" t="s">
        <v>1510</v>
      </c>
      <c r="F40" s="105" t="s">
        <v>1515</v>
      </c>
      <c r="M40" s="105" t="s">
        <v>1516</v>
      </c>
      <c r="N40" s="105" t="s">
        <v>1464</v>
      </c>
      <c r="O40" s="102">
        <v>44739</v>
      </c>
      <c r="P40" s="102">
        <v>44757</v>
      </c>
      <c r="Q40" s="102">
        <v>44738</v>
      </c>
      <c r="R40" s="102">
        <v>44744</v>
      </c>
      <c r="S40" s="103">
        <v>27</v>
      </c>
      <c r="T40" s="103">
        <v>7</v>
      </c>
      <c r="U40" s="103">
        <v>5</v>
      </c>
      <c r="V40" s="103">
        <v>0</v>
      </c>
      <c r="W40" s="103">
        <v>0</v>
      </c>
      <c r="X40" s="104">
        <v>1</v>
      </c>
      <c r="Y40" s="104">
        <v>0</v>
      </c>
      <c r="Z40" s="104">
        <v>0</v>
      </c>
      <c r="AC40" s="103">
        <v>0</v>
      </c>
    </row>
    <row r="41" spans="1:29">
      <c r="A41" s="105" t="s">
        <v>1560</v>
      </c>
      <c r="B41" s="105" t="s">
        <v>1515</v>
      </c>
      <c r="C41" s="105" t="s">
        <v>794</v>
      </c>
      <c r="D41" s="105" t="s">
        <v>1553</v>
      </c>
      <c r="E41" s="105" t="s">
        <v>1510</v>
      </c>
      <c r="F41" s="105" t="s">
        <v>1515</v>
      </c>
      <c r="M41" s="105" t="s">
        <v>1516</v>
      </c>
      <c r="N41" s="105" t="s">
        <v>1464</v>
      </c>
      <c r="O41" s="102">
        <v>44739</v>
      </c>
      <c r="P41" s="102">
        <v>44757</v>
      </c>
      <c r="Q41" s="102">
        <v>44745</v>
      </c>
      <c r="R41" s="102">
        <v>44751</v>
      </c>
      <c r="S41" s="103">
        <v>28</v>
      </c>
      <c r="T41" s="103">
        <v>8</v>
      </c>
      <c r="U41" s="103">
        <v>5</v>
      </c>
      <c r="V41" s="103">
        <v>0</v>
      </c>
      <c r="W41" s="103">
        <v>0</v>
      </c>
      <c r="X41" s="104">
        <v>1</v>
      </c>
      <c r="Y41" s="104">
        <v>0</v>
      </c>
      <c r="Z41" s="104">
        <v>0</v>
      </c>
      <c r="AC41" s="103">
        <v>0</v>
      </c>
    </row>
    <row r="42" spans="1:29">
      <c r="A42" s="105" t="s">
        <v>1560</v>
      </c>
      <c r="B42" s="105" t="s">
        <v>1515</v>
      </c>
      <c r="C42" s="105" t="s">
        <v>794</v>
      </c>
      <c r="D42" s="105" t="s">
        <v>1553</v>
      </c>
      <c r="E42" s="105" t="s">
        <v>1510</v>
      </c>
      <c r="F42" s="105" t="s">
        <v>1515</v>
      </c>
      <c r="M42" s="105" t="s">
        <v>1516</v>
      </c>
      <c r="N42" s="105" t="s">
        <v>1464</v>
      </c>
      <c r="O42" s="102">
        <v>44739</v>
      </c>
      <c r="P42" s="102">
        <v>44757</v>
      </c>
      <c r="Q42" s="102">
        <v>44752</v>
      </c>
      <c r="R42" s="102">
        <v>44758</v>
      </c>
      <c r="S42" s="103">
        <v>29</v>
      </c>
      <c r="T42" s="103">
        <v>9</v>
      </c>
      <c r="U42" s="103">
        <v>5</v>
      </c>
      <c r="V42" s="103">
        <v>0</v>
      </c>
      <c r="W42" s="103">
        <v>0</v>
      </c>
      <c r="X42" s="104">
        <v>1</v>
      </c>
      <c r="Y42" s="104">
        <v>0</v>
      </c>
      <c r="Z42" s="104">
        <v>0</v>
      </c>
      <c r="AC42" s="103">
        <v>0</v>
      </c>
    </row>
    <row r="43" spans="1:29">
      <c r="A43" s="105" t="s">
        <v>1558</v>
      </c>
      <c r="B43" s="105" t="s">
        <v>1517</v>
      </c>
      <c r="C43" s="105" t="s">
        <v>794</v>
      </c>
      <c r="D43" s="105" t="s">
        <v>1553</v>
      </c>
      <c r="E43" s="105" t="s">
        <v>1517</v>
      </c>
      <c r="M43" s="105" t="s">
        <v>1518</v>
      </c>
      <c r="N43" s="105" t="s">
        <v>1464</v>
      </c>
      <c r="O43" s="102">
        <v>44760</v>
      </c>
      <c r="P43" s="102">
        <v>44764</v>
      </c>
      <c r="Q43" s="102">
        <v>44759</v>
      </c>
      <c r="R43" s="102">
        <v>44765</v>
      </c>
      <c r="S43" s="103">
        <v>30</v>
      </c>
      <c r="T43" s="103">
        <v>10</v>
      </c>
      <c r="U43" s="103">
        <v>5</v>
      </c>
      <c r="V43" s="103">
        <v>0</v>
      </c>
      <c r="W43" s="103">
        <v>0</v>
      </c>
      <c r="X43" s="104">
        <v>1</v>
      </c>
      <c r="Y43" s="104">
        <v>0</v>
      </c>
      <c r="Z43" s="104">
        <v>0</v>
      </c>
      <c r="AC43" s="103">
        <v>0</v>
      </c>
    </row>
    <row r="44" spans="1:29">
      <c r="A44" s="105" t="s">
        <v>1560</v>
      </c>
      <c r="B44" s="105" t="s">
        <v>1520</v>
      </c>
      <c r="C44" s="105" t="s">
        <v>794</v>
      </c>
      <c r="D44" s="105" t="s">
        <v>1554</v>
      </c>
      <c r="E44" s="105" t="s">
        <v>1519</v>
      </c>
      <c r="F44" s="105" t="s">
        <v>1520</v>
      </c>
      <c r="M44" s="105" t="s">
        <v>1521</v>
      </c>
      <c r="N44" s="105" t="s">
        <v>1464</v>
      </c>
      <c r="O44" s="102">
        <v>44760</v>
      </c>
      <c r="P44" s="102">
        <v>44764</v>
      </c>
      <c r="Q44" s="102">
        <v>44759</v>
      </c>
      <c r="R44" s="102">
        <v>44765</v>
      </c>
      <c r="S44" s="103">
        <v>30</v>
      </c>
      <c r="T44" s="103">
        <v>10</v>
      </c>
      <c r="U44" s="103">
        <v>5</v>
      </c>
      <c r="V44" s="103">
        <v>0</v>
      </c>
      <c r="W44" s="103">
        <v>0</v>
      </c>
      <c r="X44" s="104">
        <v>1</v>
      </c>
      <c r="Y44" s="104">
        <v>0</v>
      </c>
      <c r="Z44" s="104">
        <v>0</v>
      </c>
      <c r="AC44" s="103">
        <v>0</v>
      </c>
    </row>
    <row r="45" spans="1:29">
      <c r="A45" s="105" t="s">
        <v>1565</v>
      </c>
      <c r="B45" s="105" t="s">
        <v>1524</v>
      </c>
      <c r="C45" s="105" t="s">
        <v>794</v>
      </c>
      <c r="D45" s="105" t="s">
        <v>1554</v>
      </c>
      <c r="E45" s="105" t="s">
        <v>1519</v>
      </c>
      <c r="F45" s="105" t="s">
        <v>1522</v>
      </c>
      <c r="G45" s="105" t="s">
        <v>1523</v>
      </c>
      <c r="H45" s="105" t="s">
        <v>1524</v>
      </c>
      <c r="M45" s="105" t="s">
        <v>1525</v>
      </c>
      <c r="N45" s="105" t="s">
        <v>1464</v>
      </c>
      <c r="O45" s="102">
        <v>44760</v>
      </c>
      <c r="P45" s="102">
        <v>44771</v>
      </c>
      <c r="Q45" s="102">
        <v>44759</v>
      </c>
      <c r="R45" s="102">
        <v>44765</v>
      </c>
      <c r="S45" s="103">
        <v>30</v>
      </c>
      <c r="T45" s="103">
        <v>10</v>
      </c>
      <c r="U45" s="103">
        <v>5</v>
      </c>
      <c r="V45" s="103">
        <v>0</v>
      </c>
      <c r="W45" s="103">
        <v>0</v>
      </c>
      <c r="X45" s="104">
        <v>1</v>
      </c>
      <c r="Y45" s="104">
        <v>0</v>
      </c>
      <c r="Z45" s="104">
        <v>0</v>
      </c>
      <c r="AC45" s="103">
        <v>0</v>
      </c>
    </row>
    <row r="46" spans="1:29">
      <c r="A46" s="105" t="s">
        <v>1565</v>
      </c>
      <c r="B46" s="105" t="s">
        <v>1524</v>
      </c>
      <c r="C46" s="105" t="s">
        <v>794</v>
      </c>
      <c r="D46" s="105" t="s">
        <v>1554</v>
      </c>
      <c r="E46" s="105" t="s">
        <v>1519</v>
      </c>
      <c r="F46" s="105" t="s">
        <v>1522</v>
      </c>
      <c r="G46" s="105" t="s">
        <v>1523</v>
      </c>
      <c r="H46" s="105" t="s">
        <v>1524</v>
      </c>
      <c r="M46" s="105" t="s">
        <v>1525</v>
      </c>
      <c r="N46" s="105" t="s">
        <v>1464</v>
      </c>
      <c r="O46" s="102">
        <v>44760</v>
      </c>
      <c r="P46" s="102">
        <v>44771</v>
      </c>
      <c r="Q46" s="102">
        <v>44766</v>
      </c>
      <c r="R46" s="102">
        <v>44772</v>
      </c>
      <c r="S46" s="103">
        <v>31</v>
      </c>
      <c r="T46" s="103">
        <v>11</v>
      </c>
      <c r="U46" s="103">
        <v>5</v>
      </c>
      <c r="V46" s="103">
        <v>0</v>
      </c>
      <c r="W46" s="103">
        <v>0</v>
      </c>
      <c r="X46" s="104">
        <v>1</v>
      </c>
      <c r="Y46" s="104">
        <v>0</v>
      </c>
      <c r="Z46" s="104">
        <v>0</v>
      </c>
      <c r="AC46" s="103">
        <v>0</v>
      </c>
    </row>
    <row r="47" spans="1:29">
      <c r="A47" s="105" t="s">
        <v>1565</v>
      </c>
      <c r="B47" s="105" t="s">
        <v>1526</v>
      </c>
      <c r="C47" s="105" t="s">
        <v>794</v>
      </c>
      <c r="D47" s="105" t="s">
        <v>1554</v>
      </c>
      <c r="E47" s="105" t="s">
        <v>1519</v>
      </c>
      <c r="F47" s="105" t="s">
        <v>1522</v>
      </c>
      <c r="G47" s="105" t="s">
        <v>1523</v>
      </c>
      <c r="H47" s="105" t="s">
        <v>1526</v>
      </c>
      <c r="M47" s="105" t="s">
        <v>1527</v>
      </c>
      <c r="N47" s="105" t="s">
        <v>1464</v>
      </c>
      <c r="O47" s="102">
        <v>44774</v>
      </c>
      <c r="P47" s="102">
        <v>44795</v>
      </c>
      <c r="Q47" s="102">
        <v>44773</v>
      </c>
      <c r="R47" s="102">
        <v>44779</v>
      </c>
      <c r="S47" s="103">
        <v>32</v>
      </c>
      <c r="T47" s="103">
        <v>12</v>
      </c>
      <c r="U47" s="103">
        <v>5</v>
      </c>
      <c r="V47" s="103">
        <v>0</v>
      </c>
      <c r="W47" s="103">
        <v>0</v>
      </c>
      <c r="X47" s="104">
        <v>1</v>
      </c>
      <c r="Y47" s="104">
        <v>0</v>
      </c>
      <c r="Z47" s="104">
        <v>0</v>
      </c>
      <c r="AC47" s="103">
        <v>0</v>
      </c>
    </row>
    <row r="48" spans="1:29">
      <c r="A48" s="105" t="s">
        <v>1565</v>
      </c>
      <c r="B48" s="105" t="s">
        <v>1526</v>
      </c>
      <c r="C48" s="105" t="s">
        <v>794</v>
      </c>
      <c r="D48" s="105" t="s">
        <v>1554</v>
      </c>
      <c r="E48" s="105" t="s">
        <v>1519</v>
      </c>
      <c r="F48" s="105" t="s">
        <v>1522</v>
      </c>
      <c r="G48" s="105" t="s">
        <v>1523</v>
      </c>
      <c r="H48" s="105" t="s">
        <v>1526</v>
      </c>
      <c r="M48" s="105" t="s">
        <v>1527</v>
      </c>
      <c r="N48" s="105" t="s">
        <v>1464</v>
      </c>
      <c r="O48" s="102">
        <v>44774</v>
      </c>
      <c r="P48" s="102">
        <v>44795</v>
      </c>
      <c r="Q48" s="102">
        <v>44780</v>
      </c>
      <c r="R48" s="102">
        <v>44786</v>
      </c>
      <c r="S48" s="103">
        <v>33</v>
      </c>
      <c r="T48" s="103">
        <v>13</v>
      </c>
      <c r="U48" s="103">
        <v>5</v>
      </c>
      <c r="V48" s="103">
        <v>0</v>
      </c>
      <c r="W48" s="103">
        <v>0</v>
      </c>
      <c r="X48" s="104">
        <v>1</v>
      </c>
      <c r="Y48" s="104">
        <v>0</v>
      </c>
      <c r="Z48" s="104">
        <v>0</v>
      </c>
      <c r="AC48" s="103">
        <v>0</v>
      </c>
    </row>
    <row r="49" spans="1:29">
      <c r="A49" s="105" t="s">
        <v>1565</v>
      </c>
      <c r="B49" s="105" t="s">
        <v>1526</v>
      </c>
      <c r="C49" s="105" t="s">
        <v>794</v>
      </c>
      <c r="D49" s="105" t="s">
        <v>1554</v>
      </c>
      <c r="E49" s="105" t="s">
        <v>1519</v>
      </c>
      <c r="F49" s="105" t="s">
        <v>1522</v>
      </c>
      <c r="G49" s="105" t="s">
        <v>1523</v>
      </c>
      <c r="H49" s="105" t="s">
        <v>1526</v>
      </c>
      <c r="M49" s="105" t="s">
        <v>1527</v>
      </c>
      <c r="N49" s="105" t="s">
        <v>1464</v>
      </c>
      <c r="O49" s="102">
        <v>44774</v>
      </c>
      <c r="P49" s="102">
        <v>44795</v>
      </c>
      <c r="Q49" s="102">
        <v>44787</v>
      </c>
      <c r="R49" s="102">
        <v>44793</v>
      </c>
      <c r="S49" s="103">
        <v>34</v>
      </c>
      <c r="T49" s="103">
        <v>14</v>
      </c>
      <c r="U49" s="103">
        <v>4</v>
      </c>
      <c r="V49" s="103">
        <v>0</v>
      </c>
      <c r="W49" s="103">
        <v>0</v>
      </c>
      <c r="X49" s="104">
        <v>1</v>
      </c>
      <c r="Y49" s="104">
        <v>0</v>
      </c>
      <c r="Z49" s="104">
        <v>0</v>
      </c>
      <c r="AC49" s="103">
        <v>0</v>
      </c>
    </row>
    <row r="50" spans="1:29">
      <c r="A50" s="105" t="s">
        <v>1565</v>
      </c>
      <c r="B50" s="105" t="s">
        <v>1526</v>
      </c>
      <c r="C50" s="105" t="s">
        <v>794</v>
      </c>
      <c r="D50" s="105" t="s">
        <v>1554</v>
      </c>
      <c r="E50" s="105" t="s">
        <v>1519</v>
      </c>
      <c r="F50" s="105" t="s">
        <v>1522</v>
      </c>
      <c r="G50" s="105" t="s">
        <v>1523</v>
      </c>
      <c r="H50" s="105" t="s">
        <v>1526</v>
      </c>
      <c r="M50" s="105" t="s">
        <v>1527</v>
      </c>
      <c r="N50" s="105" t="s">
        <v>1464</v>
      </c>
      <c r="O50" s="102">
        <v>44774</v>
      </c>
      <c r="P50" s="102">
        <v>44795</v>
      </c>
      <c r="Q50" s="102">
        <v>44794</v>
      </c>
      <c r="R50" s="102">
        <v>44800</v>
      </c>
      <c r="S50" s="103">
        <v>35</v>
      </c>
      <c r="T50" s="103">
        <v>15</v>
      </c>
      <c r="U50" s="103">
        <v>1</v>
      </c>
      <c r="V50" s="103">
        <v>0</v>
      </c>
      <c r="W50" s="103">
        <v>0</v>
      </c>
      <c r="X50" s="104">
        <v>1</v>
      </c>
      <c r="Y50" s="104">
        <v>0</v>
      </c>
      <c r="Z50" s="104">
        <v>0</v>
      </c>
      <c r="AC50" s="103">
        <v>0</v>
      </c>
    </row>
    <row r="51" spans="1:29">
      <c r="A51" s="105" t="s">
        <v>1565</v>
      </c>
      <c r="B51" s="105" t="s">
        <v>1528</v>
      </c>
      <c r="C51" s="105" t="s">
        <v>794</v>
      </c>
      <c r="D51" s="105" t="s">
        <v>1554</v>
      </c>
      <c r="E51" s="105" t="s">
        <v>1519</v>
      </c>
      <c r="F51" s="105" t="s">
        <v>1522</v>
      </c>
      <c r="G51" s="105" t="s">
        <v>1523</v>
      </c>
      <c r="H51" s="105" t="s">
        <v>1528</v>
      </c>
      <c r="M51" s="105" t="s">
        <v>1529</v>
      </c>
      <c r="N51" s="105" t="s">
        <v>1464</v>
      </c>
      <c r="O51" s="102">
        <v>44796</v>
      </c>
      <c r="P51" s="102">
        <v>44809</v>
      </c>
      <c r="Q51" s="102">
        <v>44794</v>
      </c>
      <c r="R51" s="102">
        <v>44800</v>
      </c>
      <c r="S51" s="103">
        <v>35</v>
      </c>
      <c r="T51" s="103">
        <v>15</v>
      </c>
      <c r="U51" s="103">
        <v>4</v>
      </c>
      <c r="V51" s="103">
        <v>0</v>
      </c>
      <c r="W51" s="103">
        <v>0</v>
      </c>
      <c r="X51" s="104">
        <v>1</v>
      </c>
      <c r="Y51" s="104">
        <v>0</v>
      </c>
      <c r="Z51" s="104">
        <v>0</v>
      </c>
      <c r="AC51" s="103">
        <v>0</v>
      </c>
    </row>
    <row r="52" spans="1:29">
      <c r="A52" s="105" t="s">
        <v>1565</v>
      </c>
      <c r="B52" s="105" t="s">
        <v>1528</v>
      </c>
      <c r="C52" s="105" t="s">
        <v>794</v>
      </c>
      <c r="D52" s="105" t="s">
        <v>1554</v>
      </c>
      <c r="E52" s="105" t="s">
        <v>1519</v>
      </c>
      <c r="F52" s="105" t="s">
        <v>1522</v>
      </c>
      <c r="G52" s="105" t="s">
        <v>1523</v>
      </c>
      <c r="H52" s="105" t="s">
        <v>1528</v>
      </c>
      <c r="M52" s="105" t="s">
        <v>1529</v>
      </c>
      <c r="N52" s="105" t="s">
        <v>1464</v>
      </c>
      <c r="O52" s="102">
        <v>44796</v>
      </c>
      <c r="P52" s="102">
        <v>44809</v>
      </c>
      <c r="Q52" s="102">
        <v>44801</v>
      </c>
      <c r="R52" s="102">
        <v>44807</v>
      </c>
      <c r="S52" s="103">
        <v>36</v>
      </c>
      <c r="T52" s="103">
        <v>16</v>
      </c>
      <c r="U52" s="103">
        <v>5</v>
      </c>
      <c r="V52" s="103">
        <v>0</v>
      </c>
      <c r="W52" s="103">
        <v>0</v>
      </c>
      <c r="X52" s="104">
        <v>1</v>
      </c>
      <c r="Y52" s="104">
        <v>0</v>
      </c>
      <c r="Z52" s="104">
        <v>0</v>
      </c>
      <c r="AC52" s="103">
        <v>0</v>
      </c>
    </row>
    <row r="53" spans="1:29">
      <c r="A53" s="105" t="s">
        <v>1565</v>
      </c>
      <c r="B53" s="105" t="s">
        <v>1528</v>
      </c>
      <c r="C53" s="105" t="s">
        <v>794</v>
      </c>
      <c r="D53" s="105" t="s">
        <v>1554</v>
      </c>
      <c r="E53" s="105" t="s">
        <v>1519</v>
      </c>
      <c r="F53" s="105" t="s">
        <v>1522</v>
      </c>
      <c r="G53" s="105" t="s">
        <v>1523</v>
      </c>
      <c r="H53" s="105" t="s">
        <v>1528</v>
      </c>
      <c r="M53" s="105" t="s">
        <v>1529</v>
      </c>
      <c r="N53" s="105" t="s">
        <v>1464</v>
      </c>
      <c r="O53" s="102">
        <v>44796</v>
      </c>
      <c r="P53" s="102">
        <v>44809</v>
      </c>
      <c r="Q53" s="102">
        <v>44808</v>
      </c>
      <c r="R53" s="102">
        <v>44814</v>
      </c>
      <c r="S53" s="103">
        <v>37</v>
      </c>
      <c r="T53" s="103">
        <v>17</v>
      </c>
      <c r="U53" s="103">
        <v>1</v>
      </c>
      <c r="V53" s="103">
        <v>0</v>
      </c>
      <c r="W53" s="103">
        <v>0</v>
      </c>
      <c r="X53" s="104">
        <v>1</v>
      </c>
      <c r="Y53" s="104">
        <v>0</v>
      </c>
      <c r="Z53" s="104">
        <v>0</v>
      </c>
      <c r="AC53" s="103">
        <v>0</v>
      </c>
    </row>
    <row r="54" spans="1:29">
      <c r="A54" s="105" t="s">
        <v>1566</v>
      </c>
      <c r="B54" s="105" t="s">
        <v>1530</v>
      </c>
      <c r="C54" s="105" t="s">
        <v>794</v>
      </c>
      <c r="D54" s="105" t="s">
        <v>1554</v>
      </c>
      <c r="E54" s="105" t="s">
        <v>1519</v>
      </c>
      <c r="F54" s="105" t="s">
        <v>1522</v>
      </c>
      <c r="G54" s="105" t="s">
        <v>1530</v>
      </c>
      <c r="M54" s="105" t="s">
        <v>1531</v>
      </c>
      <c r="N54" s="105" t="s">
        <v>1464</v>
      </c>
      <c r="O54" s="102">
        <v>44760</v>
      </c>
      <c r="P54" s="102">
        <v>44819</v>
      </c>
      <c r="Q54" s="102">
        <v>44759</v>
      </c>
      <c r="R54" s="102">
        <v>44765</v>
      </c>
      <c r="S54" s="103">
        <v>30</v>
      </c>
      <c r="T54" s="103">
        <v>10</v>
      </c>
      <c r="U54" s="103">
        <v>5</v>
      </c>
      <c r="V54" s="103">
        <v>0</v>
      </c>
      <c r="W54" s="103">
        <v>0</v>
      </c>
      <c r="X54" s="104">
        <v>1</v>
      </c>
      <c r="Y54" s="104">
        <v>0</v>
      </c>
      <c r="Z54" s="104">
        <v>0</v>
      </c>
      <c r="AC54" s="103">
        <v>0</v>
      </c>
    </row>
    <row r="55" spans="1:29">
      <c r="A55" s="105" t="s">
        <v>1566</v>
      </c>
      <c r="B55" s="105" t="s">
        <v>1530</v>
      </c>
      <c r="C55" s="105" t="s">
        <v>794</v>
      </c>
      <c r="D55" s="105" t="s">
        <v>1554</v>
      </c>
      <c r="E55" s="105" t="s">
        <v>1519</v>
      </c>
      <c r="F55" s="105" t="s">
        <v>1522</v>
      </c>
      <c r="G55" s="105" t="s">
        <v>1530</v>
      </c>
      <c r="M55" s="105" t="s">
        <v>1531</v>
      </c>
      <c r="N55" s="105" t="s">
        <v>1464</v>
      </c>
      <c r="O55" s="102">
        <v>44760</v>
      </c>
      <c r="P55" s="102">
        <v>44819</v>
      </c>
      <c r="Q55" s="102">
        <v>44766</v>
      </c>
      <c r="R55" s="102">
        <v>44772</v>
      </c>
      <c r="S55" s="103">
        <v>31</v>
      </c>
      <c r="T55" s="103">
        <v>11</v>
      </c>
      <c r="U55" s="103">
        <v>5</v>
      </c>
      <c r="V55" s="103">
        <v>0</v>
      </c>
      <c r="W55" s="103">
        <v>0</v>
      </c>
      <c r="X55" s="104">
        <v>1</v>
      </c>
      <c r="Y55" s="104">
        <v>0</v>
      </c>
      <c r="Z55" s="104">
        <v>0</v>
      </c>
      <c r="AC55" s="103">
        <v>0</v>
      </c>
    </row>
    <row r="56" spans="1:29">
      <c r="A56" s="105" t="s">
        <v>1566</v>
      </c>
      <c r="B56" s="105" t="s">
        <v>1530</v>
      </c>
      <c r="C56" s="105" t="s">
        <v>794</v>
      </c>
      <c r="D56" s="105" t="s">
        <v>1554</v>
      </c>
      <c r="E56" s="105" t="s">
        <v>1519</v>
      </c>
      <c r="F56" s="105" t="s">
        <v>1522</v>
      </c>
      <c r="G56" s="105" t="s">
        <v>1530</v>
      </c>
      <c r="M56" s="105" t="s">
        <v>1531</v>
      </c>
      <c r="N56" s="105" t="s">
        <v>1464</v>
      </c>
      <c r="O56" s="102">
        <v>44760</v>
      </c>
      <c r="P56" s="102">
        <v>44819</v>
      </c>
      <c r="Q56" s="102">
        <v>44773</v>
      </c>
      <c r="R56" s="102">
        <v>44779</v>
      </c>
      <c r="S56" s="103">
        <v>32</v>
      </c>
      <c r="T56" s="103">
        <v>12</v>
      </c>
      <c r="U56" s="103">
        <v>5</v>
      </c>
      <c r="V56" s="103">
        <v>0</v>
      </c>
      <c r="W56" s="103">
        <v>0</v>
      </c>
      <c r="X56" s="104">
        <v>1</v>
      </c>
      <c r="Y56" s="104">
        <v>0</v>
      </c>
      <c r="Z56" s="104">
        <v>0</v>
      </c>
      <c r="AC56" s="103">
        <v>0</v>
      </c>
    </row>
    <row r="57" spans="1:29">
      <c r="A57" s="105" t="s">
        <v>1566</v>
      </c>
      <c r="B57" s="105" t="s">
        <v>1530</v>
      </c>
      <c r="C57" s="105" t="s">
        <v>794</v>
      </c>
      <c r="D57" s="105" t="s">
        <v>1554</v>
      </c>
      <c r="E57" s="105" t="s">
        <v>1519</v>
      </c>
      <c r="F57" s="105" t="s">
        <v>1522</v>
      </c>
      <c r="G57" s="105" t="s">
        <v>1530</v>
      </c>
      <c r="M57" s="105" t="s">
        <v>1531</v>
      </c>
      <c r="N57" s="105" t="s">
        <v>1464</v>
      </c>
      <c r="O57" s="102">
        <v>44760</v>
      </c>
      <c r="P57" s="102">
        <v>44819</v>
      </c>
      <c r="Q57" s="102">
        <v>44780</v>
      </c>
      <c r="R57" s="102">
        <v>44786</v>
      </c>
      <c r="S57" s="103">
        <v>33</v>
      </c>
      <c r="T57" s="103">
        <v>13</v>
      </c>
      <c r="U57" s="103">
        <v>5</v>
      </c>
      <c r="V57" s="103">
        <v>0</v>
      </c>
      <c r="W57" s="103">
        <v>0</v>
      </c>
      <c r="X57" s="104">
        <v>1</v>
      </c>
      <c r="Y57" s="104">
        <v>0</v>
      </c>
      <c r="Z57" s="104">
        <v>0</v>
      </c>
      <c r="AC57" s="103">
        <v>0</v>
      </c>
    </row>
    <row r="58" spans="1:29">
      <c r="A58" s="105" t="s">
        <v>1566</v>
      </c>
      <c r="B58" s="105" t="s">
        <v>1530</v>
      </c>
      <c r="C58" s="105" t="s">
        <v>794</v>
      </c>
      <c r="D58" s="105" t="s">
        <v>1554</v>
      </c>
      <c r="E58" s="105" t="s">
        <v>1519</v>
      </c>
      <c r="F58" s="105" t="s">
        <v>1522</v>
      </c>
      <c r="G58" s="105" t="s">
        <v>1530</v>
      </c>
      <c r="M58" s="105" t="s">
        <v>1531</v>
      </c>
      <c r="N58" s="105" t="s">
        <v>1464</v>
      </c>
      <c r="O58" s="102">
        <v>44760</v>
      </c>
      <c r="P58" s="102">
        <v>44819</v>
      </c>
      <c r="Q58" s="102">
        <v>44787</v>
      </c>
      <c r="R58" s="102">
        <v>44793</v>
      </c>
      <c r="S58" s="103">
        <v>34</v>
      </c>
      <c r="T58" s="103">
        <v>14</v>
      </c>
      <c r="U58" s="103">
        <v>4</v>
      </c>
      <c r="V58" s="103">
        <v>0</v>
      </c>
      <c r="W58" s="103">
        <v>0</v>
      </c>
      <c r="X58" s="104">
        <v>1</v>
      </c>
      <c r="Y58" s="104">
        <v>0</v>
      </c>
      <c r="Z58" s="104">
        <v>0</v>
      </c>
      <c r="AC58" s="103">
        <v>0</v>
      </c>
    </row>
    <row r="59" spans="1:29">
      <c r="A59" s="105" t="s">
        <v>1566</v>
      </c>
      <c r="B59" s="105" t="s">
        <v>1530</v>
      </c>
      <c r="C59" s="105" t="s">
        <v>794</v>
      </c>
      <c r="D59" s="105" t="s">
        <v>1554</v>
      </c>
      <c r="E59" s="105" t="s">
        <v>1519</v>
      </c>
      <c r="F59" s="105" t="s">
        <v>1522</v>
      </c>
      <c r="G59" s="105" t="s">
        <v>1530</v>
      </c>
      <c r="M59" s="105" t="s">
        <v>1531</v>
      </c>
      <c r="N59" s="105" t="s">
        <v>1464</v>
      </c>
      <c r="O59" s="102">
        <v>44760</v>
      </c>
      <c r="P59" s="102">
        <v>44819</v>
      </c>
      <c r="Q59" s="102">
        <v>44794</v>
      </c>
      <c r="R59" s="102">
        <v>44800</v>
      </c>
      <c r="S59" s="103">
        <v>35</v>
      </c>
      <c r="T59" s="103">
        <v>15</v>
      </c>
      <c r="U59" s="103">
        <v>5</v>
      </c>
      <c r="V59" s="103">
        <v>0</v>
      </c>
      <c r="W59" s="103">
        <v>0</v>
      </c>
      <c r="X59" s="104">
        <v>1</v>
      </c>
      <c r="Y59" s="104">
        <v>0</v>
      </c>
      <c r="Z59" s="104">
        <v>0</v>
      </c>
      <c r="AC59" s="103">
        <v>0</v>
      </c>
    </row>
    <row r="60" spans="1:29">
      <c r="A60" s="105" t="s">
        <v>1566</v>
      </c>
      <c r="B60" s="105" t="s">
        <v>1530</v>
      </c>
      <c r="C60" s="105" t="s">
        <v>794</v>
      </c>
      <c r="D60" s="105" t="s">
        <v>1554</v>
      </c>
      <c r="E60" s="105" t="s">
        <v>1519</v>
      </c>
      <c r="F60" s="105" t="s">
        <v>1522</v>
      </c>
      <c r="G60" s="105" t="s">
        <v>1530</v>
      </c>
      <c r="M60" s="105" t="s">
        <v>1531</v>
      </c>
      <c r="N60" s="105" t="s">
        <v>1464</v>
      </c>
      <c r="O60" s="102">
        <v>44760</v>
      </c>
      <c r="P60" s="102">
        <v>44819</v>
      </c>
      <c r="Q60" s="102">
        <v>44801</v>
      </c>
      <c r="R60" s="102">
        <v>44807</v>
      </c>
      <c r="S60" s="103">
        <v>36</v>
      </c>
      <c r="T60" s="103">
        <v>16</v>
      </c>
      <c r="U60" s="103">
        <v>5</v>
      </c>
      <c r="V60" s="103">
        <v>0</v>
      </c>
      <c r="W60" s="103">
        <v>0</v>
      </c>
      <c r="X60" s="104">
        <v>1</v>
      </c>
      <c r="Y60" s="104">
        <v>0</v>
      </c>
      <c r="Z60" s="104">
        <v>0</v>
      </c>
      <c r="AC60" s="103">
        <v>0</v>
      </c>
    </row>
    <row r="61" spans="1:29">
      <c r="A61" s="105" t="s">
        <v>1566</v>
      </c>
      <c r="B61" s="105" t="s">
        <v>1530</v>
      </c>
      <c r="C61" s="105" t="s">
        <v>794</v>
      </c>
      <c r="D61" s="105" t="s">
        <v>1554</v>
      </c>
      <c r="E61" s="105" t="s">
        <v>1519</v>
      </c>
      <c r="F61" s="105" t="s">
        <v>1522</v>
      </c>
      <c r="G61" s="105" t="s">
        <v>1530</v>
      </c>
      <c r="M61" s="105" t="s">
        <v>1531</v>
      </c>
      <c r="N61" s="105" t="s">
        <v>1464</v>
      </c>
      <c r="O61" s="102">
        <v>44760</v>
      </c>
      <c r="P61" s="102">
        <v>44819</v>
      </c>
      <c r="Q61" s="102">
        <v>44808</v>
      </c>
      <c r="R61" s="102">
        <v>44814</v>
      </c>
      <c r="S61" s="103">
        <v>37</v>
      </c>
      <c r="T61" s="103">
        <v>17</v>
      </c>
      <c r="U61" s="103">
        <v>4</v>
      </c>
      <c r="V61" s="103">
        <v>0</v>
      </c>
      <c r="W61" s="103">
        <v>0</v>
      </c>
      <c r="X61" s="104">
        <v>1</v>
      </c>
      <c r="Y61" s="104">
        <v>0</v>
      </c>
      <c r="Z61" s="104">
        <v>0</v>
      </c>
      <c r="AC61" s="103">
        <v>0</v>
      </c>
    </row>
    <row r="62" spans="1:29">
      <c r="A62" s="105" t="s">
        <v>1566</v>
      </c>
      <c r="B62" s="105" t="s">
        <v>1530</v>
      </c>
      <c r="C62" s="105" t="s">
        <v>794</v>
      </c>
      <c r="D62" s="105" t="s">
        <v>1554</v>
      </c>
      <c r="E62" s="105" t="s">
        <v>1519</v>
      </c>
      <c r="F62" s="105" t="s">
        <v>1522</v>
      </c>
      <c r="G62" s="105" t="s">
        <v>1530</v>
      </c>
      <c r="M62" s="105" t="s">
        <v>1531</v>
      </c>
      <c r="N62" s="105" t="s">
        <v>1464</v>
      </c>
      <c r="O62" s="102">
        <v>44760</v>
      </c>
      <c r="P62" s="102">
        <v>44819</v>
      </c>
      <c r="Q62" s="102">
        <v>44815</v>
      </c>
      <c r="R62" s="102">
        <v>44821</v>
      </c>
      <c r="S62" s="103">
        <v>38</v>
      </c>
      <c r="T62" s="103">
        <v>18</v>
      </c>
      <c r="U62" s="103">
        <v>3</v>
      </c>
      <c r="V62" s="103">
        <v>0</v>
      </c>
      <c r="W62" s="103">
        <v>0</v>
      </c>
      <c r="X62" s="104">
        <v>1</v>
      </c>
      <c r="Y62" s="104">
        <v>0</v>
      </c>
      <c r="Z62" s="104">
        <v>0</v>
      </c>
      <c r="AC62" s="103">
        <v>0</v>
      </c>
    </row>
    <row r="63" spans="1:29">
      <c r="A63" s="105" t="s">
        <v>1566</v>
      </c>
      <c r="B63" s="105" t="s">
        <v>1532</v>
      </c>
      <c r="C63" s="105" t="s">
        <v>794</v>
      </c>
      <c r="D63" s="105" t="s">
        <v>1554</v>
      </c>
      <c r="E63" s="105" t="s">
        <v>1519</v>
      </c>
      <c r="F63" s="105" t="s">
        <v>1522</v>
      </c>
      <c r="G63" s="105" t="s">
        <v>1532</v>
      </c>
      <c r="M63" s="105" t="s">
        <v>1533</v>
      </c>
      <c r="N63" s="105" t="s">
        <v>1464</v>
      </c>
      <c r="O63" s="102">
        <v>44760</v>
      </c>
      <c r="P63" s="102">
        <v>44819</v>
      </c>
      <c r="Q63" s="102">
        <v>44759</v>
      </c>
      <c r="R63" s="102">
        <v>44765</v>
      </c>
      <c r="S63" s="103">
        <v>30</v>
      </c>
      <c r="T63" s="103">
        <v>10</v>
      </c>
      <c r="U63" s="103">
        <v>5</v>
      </c>
      <c r="V63" s="103">
        <v>0</v>
      </c>
      <c r="W63" s="103">
        <v>0</v>
      </c>
      <c r="X63" s="104">
        <v>1</v>
      </c>
      <c r="Y63" s="104">
        <v>0</v>
      </c>
      <c r="Z63" s="104">
        <v>0</v>
      </c>
      <c r="AC63" s="103">
        <v>0</v>
      </c>
    </row>
    <row r="64" spans="1:29">
      <c r="A64" s="105" t="s">
        <v>1566</v>
      </c>
      <c r="B64" s="105" t="s">
        <v>1532</v>
      </c>
      <c r="C64" s="105" t="s">
        <v>794</v>
      </c>
      <c r="D64" s="105" t="s">
        <v>1554</v>
      </c>
      <c r="E64" s="105" t="s">
        <v>1519</v>
      </c>
      <c r="F64" s="105" t="s">
        <v>1522</v>
      </c>
      <c r="G64" s="105" t="s">
        <v>1532</v>
      </c>
      <c r="M64" s="105" t="s">
        <v>1533</v>
      </c>
      <c r="N64" s="105" t="s">
        <v>1464</v>
      </c>
      <c r="O64" s="102">
        <v>44760</v>
      </c>
      <c r="P64" s="102">
        <v>44819</v>
      </c>
      <c r="Q64" s="102">
        <v>44766</v>
      </c>
      <c r="R64" s="102">
        <v>44772</v>
      </c>
      <c r="S64" s="103">
        <v>31</v>
      </c>
      <c r="T64" s="103">
        <v>11</v>
      </c>
      <c r="U64" s="103">
        <v>5</v>
      </c>
      <c r="V64" s="103">
        <v>0</v>
      </c>
      <c r="W64" s="103">
        <v>0</v>
      </c>
      <c r="X64" s="104">
        <v>1</v>
      </c>
      <c r="Y64" s="104">
        <v>0</v>
      </c>
      <c r="Z64" s="104">
        <v>0</v>
      </c>
      <c r="AC64" s="103">
        <v>0</v>
      </c>
    </row>
    <row r="65" spans="1:29">
      <c r="A65" s="105" t="s">
        <v>1566</v>
      </c>
      <c r="B65" s="105" t="s">
        <v>1532</v>
      </c>
      <c r="C65" s="105" t="s">
        <v>794</v>
      </c>
      <c r="D65" s="105" t="s">
        <v>1554</v>
      </c>
      <c r="E65" s="105" t="s">
        <v>1519</v>
      </c>
      <c r="F65" s="105" t="s">
        <v>1522</v>
      </c>
      <c r="G65" s="105" t="s">
        <v>1532</v>
      </c>
      <c r="M65" s="105" t="s">
        <v>1533</v>
      </c>
      <c r="N65" s="105" t="s">
        <v>1464</v>
      </c>
      <c r="O65" s="102">
        <v>44760</v>
      </c>
      <c r="P65" s="102">
        <v>44819</v>
      </c>
      <c r="Q65" s="102">
        <v>44773</v>
      </c>
      <c r="R65" s="102">
        <v>44779</v>
      </c>
      <c r="S65" s="103">
        <v>32</v>
      </c>
      <c r="T65" s="103">
        <v>12</v>
      </c>
      <c r="U65" s="103">
        <v>5</v>
      </c>
      <c r="V65" s="103">
        <v>0</v>
      </c>
      <c r="W65" s="103">
        <v>0</v>
      </c>
      <c r="X65" s="104">
        <v>1</v>
      </c>
      <c r="Y65" s="104">
        <v>0</v>
      </c>
      <c r="Z65" s="104">
        <v>0</v>
      </c>
      <c r="AC65" s="103">
        <v>0</v>
      </c>
    </row>
    <row r="66" spans="1:29">
      <c r="A66" s="105" t="s">
        <v>1566</v>
      </c>
      <c r="B66" s="105" t="s">
        <v>1532</v>
      </c>
      <c r="C66" s="105" t="s">
        <v>794</v>
      </c>
      <c r="D66" s="105" t="s">
        <v>1554</v>
      </c>
      <c r="E66" s="105" t="s">
        <v>1519</v>
      </c>
      <c r="F66" s="105" t="s">
        <v>1522</v>
      </c>
      <c r="G66" s="105" t="s">
        <v>1532</v>
      </c>
      <c r="M66" s="105" t="s">
        <v>1533</v>
      </c>
      <c r="N66" s="105" t="s">
        <v>1464</v>
      </c>
      <c r="O66" s="102">
        <v>44760</v>
      </c>
      <c r="P66" s="102">
        <v>44819</v>
      </c>
      <c r="Q66" s="102">
        <v>44780</v>
      </c>
      <c r="R66" s="102">
        <v>44786</v>
      </c>
      <c r="S66" s="103">
        <v>33</v>
      </c>
      <c r="T66" s="103">
        <v>13</v>
      </c>
      <c r="U66" s="103">
        <v>5</v>
      </c>
      <c r="V66" s="103">
        <v>0</v>
      </c>
      <c r="W66" s="103">
        <v>0</v>
      </c>
      <c r="X66" s="104">
        <v>1</v>
      </c>
      <c r="Y66" s="104">
        <v>0</v>
      </c>
      <c r="Z66" s="104">
        <v>0</v>
      </c>
      <c r="AC66" s="103">
        <v>0</v>
      </c>
    </row>
    <row r="67" spans="1:29">
      <c r="A67" s="105" t="s">
        <v>1566</v>
      </c>
      <c r="B67" s="105" t="s">
        <v>1532</v>
      </c>
      <c r="C67" s="105" t="s">
        <v>794</v>
      </c>
      <c r="D67" s="105" t="s">
        <v>1554</v>
      </c>
      <c r="E67" s="105" t="s">
        <v>1519</v>
      </c>
      <c r="F67" s="105" t="s">
        <v>1522</v>
      </c>
      <c r="G67" s="105" t="s">
        <v>1532</v>
      </c>
      <c r="M67" s="105" t="s">
        <v>1533</v>
      </c>
      <c r="N67" s="105" t="s">
        <v>1464</v>
      </c>
      <c r="O67" s="102">
        <v>44760</v>
      </c>
      <c r="P67" s="102">
        <v>44819</v>
      </c>
      <c r="Q67" s="102">
        <v>44787</v>
      </c>
      <c r="R67" s="102">
        <v>44793</v>
      </c>
      <c r="S67" s="103">
        <v>34</v>
      </c>
      <c r="T67" s="103">
        <v>14</v>
      </c>
      <c r="U67" s="103">
        <v>4</v>
      </c>
      <c r="V67" s="103">
        <v>0</v>
      </c>
      <c r="W67" s="103">
        <v>0</v>
      </c>
      <c r="X67" s="104">
        <v>1</v>
      </c>
      <c r="Y67" s="104">
        <v>0</v>
      </c>
      <c r="Z67" s="104">
        <v>0</v>
      </c>
      <c r="AC67" s="103">
        <v>0</v>
      </c>
    </row>
    <row r="68" spans="1:29">
      <c r="A68" s="105" t="s">
        <v>1566</v>
      </c>
      <c r="B68" s="105" t="s">
        <v>1532</v>
      </c>
      <c r="C68" s="105" t="s">
        <v>794</v>
      </c>
      <c r="D68" s="105" t="s">
        <v>1554</v>
      </c>
      <c r="E68" s="105" t="s">
        <v>1519</v>
      </c>
      <c r="F68" s="105" t="s">
        <v>1522</v>
      </c>
      <c r="G68" s="105" t="s">
        <v>1532</v>
      </c>
      <c r="M68" s="105" t="s">
        <v>1533</v>
      </c>
      <c r="N68" s="105" t="s">
        <v>1464</v>
      </c>
      <c r="O68" s="102">
        <v>44760</v>
      </c>
      <c r="P68" s="102">
        <v>44819</v>
      </c>
      <c r="Q68" s="102">
        <v>44794</v>
      </c>
      <c r="R68" s="102">
        <v>44800</v>
      </c>
      <c r="S68" s="103">
        <v>35</v>
      </c>
      <c r="T68" s="103">
        <v>15</v>
      </c>
      <c r="U68" s="103">
        <v>5</v>
      </c>
      <c r="V68" s="103">
        <v>0</v>
      </c>
      <c r="W68" s="103">
        <v>0</v>
      </c>
      <c r="X68" s="104">
        <v>1</v>
      </c>
      <c r="Y68" s="104">
        <v>0</v>
      </c>
      <c r="Z68" s="104">
        <v>0</v>
      </c>
      <c r="AC68" s="103">
        <v>0</v>
      </c>
    </row>
    <row r="69" spans="1:29">
      <c r="A69" s="105" t="s">
        <v>1566</v>
      </c>
      <c r="B69" s="105" t="s">
        <v>1532</v>
      </c>
      <c r="C69" s="105" t="s">
        <v>794</v>
      </c>
      <c r="D69" s="105" t="s">
        <v>1554</v>
      </c>
      <c r="E69" s="105" t="s">
        <v>1519</v>
      </c>
      <c r="F69" s="105" t="s">
        <v>1522</v>
      </c>
      <c r="G69" s="105" t="s">
        <v>1532</v>
      </c>
      <c r="M69" s="105" t="s">
        <v>1533</v>
      </c>
      <c r="N69" s="105" t="s">
        <v>1464</v>
      </c>
      <c r="O69" s="102">
        <v>44760</v>
      </c>
      <c r="P69" s="102">
        <v>44819</v>
      </c>
      <c r="Q69" s="102">
        <v>44801</v>
      </c>
      <c r="R69" s="102">
        <v>44807</v>
      </c>
      <c r="S69" s="103">
        <v>36</v>
      </c>
      <c r="T69" s="103">
        <v>16</v>
      </c>
      <c r="U69" s="103">
        <v>5</v>
      </c>
      <c r="V69" s="103">
        <v>0</v>
      </c>
      <c r="W69" s="103">
        <v>0</v>
      </c>
      <c r="X69" s="104">
        <v>1</v>
      </c>
      <c r="Y69" s="104">
        <v>0</v>
      </c>
      <c r="Z69" s="104">
        <v>0</v>
      </c>
      <c r="AC69" s="103">
        <v>0</v>
      </c>
    </row>
    <row r="70" spans="1:29">
      <c r="A70" s="105" t="s">
        <v>1566</v>
      </c>
      <c r="B70" s="105" t="s">
        <v>1532</v>
      </c>
      <c r="C70" s="105" t="s">
        <v>794</v>
      </c>
      <c r="D70" s="105" t="s">
        <v>1554</v>
      </c>
      <c r="E70" s="105" t="s">
        <v>1519</v>
      </c>
      <c r="F70" s="105" t="s">
        <v>1522</v>
      </c>
      <c r="G70" s="105" t="s">
        <v>1532</v>
      </c>
      <c r="M70" s="105" t="s">
        <v>1533</v>
      </c>
      <c r="N70" s="105" t="s">
        <v>1464</v>
      </c>
      <c r="O70" s="102">
        <v>44760</v>
      </c>
      <c r="P70" s="102">
        <v>44819</v>
      </c>
      <c r="Q70" s="102">
        <v>44808</v>
      </c>
      <c r="R70" s="102">
        <v>44814</v>
      </c>
      <c r="S70" s="103">
        <v>37</v>
      </c>
      <c r="T70" s="103">
        <v>17</v>
      </c>
      <c r="U70" s="103">
        <v>4</v>
      </c>
      <c r="V70" s="103">
        <v>0</v>
      </c>
      <c r="W70" s="103">
        <v>0</v>
      </c>
      <c r="X70" s="104">
        <v>1</v>
      </c>
      <c r="Y70" s="104">
        <v>0</v>
      </c>
      <c r="Z70" s="104">
        <v>0</v>
      </c>
      <c r="AC70" s="103">
        <v>0</v>
      </c>
    </row>
    <row r="71" spans="1:29">
      <c r="A71" s="105" t="s">
        <v>1566</v>
      </c>
      <c r="B71" s="105" t="s">
        <v>1532</v>
      </c>
      <c r="C71" s="105" t="s">
        <v>794</v>
      </c>
      <c r="D71" s="105" t="s">
        <v>1554</v>
      </c>
      <c r="E71" s="105" t="s">
        <v>1519</v>
      </c>
      <c r="F71" s="105" t="s">
        <v>1522</v>
      </c>
      <c r="G71" s="105" t="s">
        <v>1532</v>
      </c>
      <c r="M71" s="105" t="s">
        <v>1533</v>
      </c>
      <c r="N71" s="105" t="s">
        <v>1464</v>
      </c>
      <c r="O71" s="102">
        <v>44760</v>
      </c>
      <c r="P71" s="102">
        <v>44819</v>
      </c>
      <c r="Q71" s="102">
        <v>44815</v>
      </c>
      <c r="R71" s="102">
        <v>44821</v>
      </c>
      <c r="S71" s="103">
        <v>38</v>
      </c>
      <c r="T71" s="103">
        <v>18</v>
      </c>
      <c r="U71" s="103">
        <v>3</v>
      </c>
      <c r="V71" s="103">
        <v>0</v>
      </c>
      <c r="W71" s="103">
        <v>0</v>
      </c>
      <c r="X71" s="104">
        <v>1</v>
      </c>
      <c r="Y71" s="104">
        <v>0</v>
      </c>
      <c r="Z71" s="104">
        <v>0</v>
      </c>
      <c r="AC71" s="103">
        <v>0</v>
      </c>
    </row>
    <row r="72" spans="1:29">
      <c r="A72" s="105" t="s">
        <v>1566</v>
      </c>
      <c r="B72" s="105" t="s">
        <v>1534</v>
      </c>
      <c r="C72" s="105" t="s">
        <v>794</v>
      </c>
      <c r="D72" s="105" t="s">
        <v>1554</v>
      </c>
      <c r="E72" s="105" t="s">
        <v>1519</v>
      </c>
      <c r="F72" s="105" t="s">
        <v>1522</v>
      </c>
      <c r="G72" s="105" t="s">
        <v>1534</v>
      </c>
      <c r="M72" s="105" t="s">
        <v>1535</v>
      </c>
      <c r="N72" s="105" t="s">
        <v>1464</v>
      </c>
      <c r="O72" s="102">
        <v>44774</v>
      </c>
      <c r="P72" s="102">
        <v>44819</v>
      </c>
      <c r="Q72" s="102">
        <v>44773</v>
      </c>
      <c r="R72" s="102">
        <v>44779</v>
      </c>
      <c r="S72" s="103">
        <v>32</v>
      </c>
      <c r="T72" s="103">
        <v>12</v>
      </c>
      <c r="U72" s="103">
        <v>5</v>
      </c>
      <c r="V72" s="103">
        <v>0</v>
      </c>
      <c r="W72" s="103">
        <v>0</v>
      </c>
      <c r="X72" s="104">
        <v>1</v>
      </c>
      <c r="Y72" s="104">
        <v>0</v>
      </c>
      <c r="Z72" s="104">
        <v>0</v>
      </c>
      <c r="AC72" s="103">
        <v>0</v>
      </c>
    </row>
    <row r="73" spans="1:29">
      <c r="A73" s="105" t="s">
        <v>1566</v>
      </c>
      <c r="B73" s="105" t="s">
        <v>1534</v>
      </c>
      <c r="C73" s="105" t="s">
        <v>794</v>
      </c>
      <c r="D73" s="105" t="s">
        <v>1554</v>
      </c>
      <c r="E73" s="105" t="s">
        <v>1519</v>
      </c>
      <c r="F73" s="105" t="s">
        <v>1522</v>
      </c>
      <c r="G73" s="105" t="s">
        <v>1534</v>
      </c>
      <c r="M73" s="105" t="s">
        <v>1535</v>
      </c>
      <c r="N73" s="105" t="s">
        <v>1464</v>
      </c>
      <c r="O73" s="102">
        <v>44774</v>
      </c>
      <c r="P73" s="102">
        <v>44819</v>
      </c>
      <c r="Q73" s="102">
        <v>44780</v>
      </c>
      <c r="R73" s="102">
        <v>44786</v>
      </c>
      <c r="S73" s="103">
        <v>33</v>
      </c>
      <c r="T73" s="103">
        <v>13</v>
      </c>
      <c r="U73" s="103">
        <v>5</v>
      </c>
      <c r="V73" s="103">
        <v>0</v>
      </c>
      <c r="W73" s="103">
        <v>0</v>
      </c>
      <c r="X73" s="104">
        <v>1</v>
      </c>
      <c r="Y73" s="104">
        <v>0</v>
      </c>
      <c r="Z73" s="104">
        <v>0</v>
      </c>
      <c r="AC73" s="103">
        <v>0</v>
      </c>
    </row>
    <row r="74" spans="1:29">
      <c r="A74" s="105" t="s">
        <v>1566</v>
      </c>
      <c r="B74" s="105" t="s">
        <v>1534</v>
      </c>
      <c r="C74" s="105" t="s">
        <v>794</v>
      </c>
      <c r="D74" s="105" t="s">
        <v>1554</v>
      </c>
      <c r="E74" s="105" t="s">
        <v>1519</v>
      </c>
      <c r="F74" s="105" t="s">
        <v>1522</v>
      </c>
      <c r="G74" s="105" t="s">
        <v>1534</v>
      </c>
      <c r="M74" s="105" t="s">
        <v>1535</v>
      </c>
      <c r="N74" s="105" t="s">
        <v>1464</v>
      </c>
      <c r="O74" s="102">
        <v>44774</v>
      </c>
      <c r="P74" s="102">
        <v>44819</v>
      </c>
      <c r="Q74" s="102">
        <v>44787</v>
      </c>
      <c r="R74" s="102">
        <v>44793</v>
      </c>
      <c r="S74" s="103">
        <v>34</v>
      </c>
      <c r="T74" s="103">
        <v>14</v>
      </c>
      <c r="U74" s="103">
        <v>4</v>
      </c>
      <c r="V74" s="103">
        <v>0</v>
      </c>
      <c r="W74" s="103">
        <v>0</v>
      </c>
      <c r="X74" s="104">
        <v>1</v>
      </c>
      <c r="Y74" s="104">
        <v>0</v>
      </c>
      <c r="Z74" s="104">
        <v>0</v>
      </c>
      <c r="AC74" s="103">
        <v>0</v>
      </c>
    </row>
    <row r="75" spans="1:29">
      <c r="A75" s="105" t="s">
        <v>1566</v>
      </c>
      <c r="B75" s="105" t="s">
        <v>1534</v>
      </c>
      <c r="C75" s="105" t="s">
        <v>794</v>
      </c>
      <c r="D75" s="105" t="s">
        <v>1554</v>
      </c>
      <c r="E75" s="105" t="s">
        <v>1519</v>
      </c>
      <c r="F75" s="105" t="s">
        <v>1522</v>
      </c>
      <c r="G75" s="105" t="s">
        <v>1534</v>
      </c>
      <c r="M75" s="105" t="s">
        <v>1535</v>
      </c>
      <c r="N75" s="105" t="s">
        <v>1464</v>
      </c>
      <c r="O75" s="102">
        <v>44774</v>
      </c>
      <c r="P75" s="102">
        <v>44819</v>
      </c>
      <c r="Q75" s="102">
        <v>44794</v>
      </c>
      <c r="R75" s="102">
        <v>44800</v>
      </c>
      <c r="S75" s="103">
        <v>35</v>
      </c>
      <c r="T75" s="103">
        <v>15</v>
      </c>
      <c r="U75" s="103">
        <v>5</v>
      </c>
      <c r="V75" s="103">
        <v>0</v>
      </c>
      <c r="W75" s="103">
        <v>0</v>
      </c>
      <c r="X75" s="104">
        <v>1</v>
      </c>
      <c r="Y75" s="104">
        <v>0</v>
      </c>
      <c r="Z75" s="104">
        <v>0</v>
      </c>
      <c r="AC75" s="103">
        <v>0</v>
      </c>
    </row>
    <row r="76" spans="1:29">
      <c r="A76" s="105" t="s">
        <v>1566</v>
      </c>
      <c r="B76" s="105" t="s">
        <v>1534</v>
      </c>
      <c r="C76" s="105" t="s">
        <v>794</v>
      </c>
      <c r="D76" s="105" t="s">
        <v>1554</v>
      </c>
      <c r="E76" s="105" t="s">
        <v>1519</v>
      </c>
      <c r="F76" s="105" t="s">
        <v>1522</v>
      </c>
      <c r="G76" s="105" t="s">
        <v>1534</v>
      </c>
      <c r="M76" s="105" t="s">
        <v>1535</v>
      </c>
      <c r="N76" s="105" t="s">
        <v>1464</v>
      </c>
      <c r="O76" s="102">
        <v>44774</v>
      </c>
      <c r="P76" s="102">
        <v>44819</v>
      </c>
      <c r="Q76" s="102">
        <v>44801</v>
      </c>
      <c r="R76" s="102">
        <v>44807</v>
      </c>
      <c r="S76" s="103">
        <v>36</v>
      </c>
      <c r="T76" s="103">
        <v>16</v>
      </c>
      <c r="U76" s="103">
        <v>5</v>
      </c>
      <c r="V76" s="103">
        <v>0</v>
      </c>
      <c r="W76" s="103">
        <v>0</v>
      </c>
      <c r="X76" s="104">
        <v>1</v>
      </c>
      <c r="Y76" s="104">
        <v>0</v>
      </c>
      <c r="Z76" s="104">
        <v>0</v>
      </c>
      <c r="AC76" s="103">
        <v>0</v>
      </c>
    </row>
    <row r="77" spans="1:29">
      <c r="A77" s="105" t="s">
        <v>1566</v>
      </c>
      <c r="B77" s="105" t="s">
        <v>1534</v>
      </c>
      <c r="C77" s="105" t="s">
        <v>794</v>
      </c>
      <c r="D77" s="105" t="s">
        <v>1554</v>
      </c>
      <c r="E77" s="105" t="s">
        <v>1519</v>
      </c>
      <c r="F77" s="105" t="s">
        <v>1522</v>
      </c>
      <c r="G77" s="105" t="s">
        <v>1534</v>
      </c>
      <c r="M77" s="105" t="s">
        <v>1535</v>
      </c>
      <c r="N77" s="105" t="s">
        <v>1464</v>
      </c>
      <c r="O77" s="102">
        <v>44774</v>
      </c>
      <c r="P77" s="102">
        <v>44819</v>
      </c>
      <c r="Q77" s="102">
        <v>44808</v>
      </c>
      <c r="R77" s="102">
        <v>44814</v>
      </c>
      <c r="S77" s="103">
        <v>37</v>
      </c>
      <c r="T77" s="103">
        <v>17</v>
      </c>
      <c r="U77" s="103">
        <v>4</v>
      </c>
      <c r="V77" s="103">
        <v>0</v>
      </c>
      <c r="W77" s="103">
        <v>0</v>
      </c>
      <c r="X77" s="104">
        <v>1</v>
      </c>
      <c r="Y77" s="104">
        <v>0</v>
      </c>
      <c r="Z77" s="104">
        <v>0</v>
      </c>
      <c r="AC77" s="103">
        <v>0</v>
      </c>
    </row>
    <row r="78" spans="1:29">
      <c r="A78" s="105" t="s">
        <v>1566</v>
      </c>
      <c r="B78" s="105" t="s">
        <v>1534</v>
      </c>
      <c r="C78" s="105" t="s">
        <v>794</v>
      </c>
      <c r="D78" s="105" t="s">
        <v>1554</v>
      </c>
      <c r="E78" s="105" t="s">
        <v>1519</v>
      </c>
      <c r="F78" s="105" t="s">
        <v>1522</v>
      </c>
      <c r="G78" s="105" t="s">
        <v>1534</v>
      </c>
      <c r="M78" s="105" t="s">
        <v>1535</v>
      </c>
      <c r="N78" s="105" t="s">
        <v>1464</v>
      </c>
      <c r="O78" s="102">
        <v>44774</v>
      </c>
      <c r="P78" s="102">
        <v>44819</v>
      </c>
      <c r="Q78" s="102">
        <v>44815</v>
      </c>
      <c r="R78" s="102">
        <v>44821</v>
      </c>
      <c r="S78" s="103">
        <v>38</v>
      </c>
      <c r="T78" s="103">
        <v>18</v>
      </c>
      <c r="U78" s="103">
        <v>3</v>
      </c>
      <c r="V78" s="103">
        <v>0</v>
      </c>
      <c r="W78" s="103">
        <v>0</v>
      </c>
      <c r="X78" s="104">
        <v>1</v>
      </c>
      <c r="Y78" s="104">
        <v>0</v>
      </c>
      <c r="Z78" s="104">
        <v>0</v>
      </c>
      <c r="AC78" s="103">
        <v>0</v>
      </c>
    </row>
    <row r="79" spans="1:29">
      <c r="A79" s="105" t="s">
        <v>1560</v>
      </c>
      <c r="B79" s="105" t="s">
        <v>1537</v>
      </c>
      <c r="C79" s="105" t="s">
        <v>794</v>
      </c>
      <c r="D79" s="105" t="s">
        <v>1554</v>
      </c>
      <c r="E79" s="105" t="s">
        <v>1536</v>
      </c>
      <c r="F79" s="105" t="s">
        <v>1537</v>
      </c>
      <c r="M79" s="105" t="s">
        <v>1538</v>
      </c>
      <c r="N79" s="105" t="s">
        <v>1464</v>
      </c>
      <c r="O79" s="102">
        <v>44802</v>
      </c>
      <c r="P79" s="102">
        <v>44820</v>
      </c>
      <c r="Q79" s="102">
        <v>44801</v>
      </c>
      <c r="R79" s="102">
        <v>44807</v>
      </c>
      <c r="S79" s="103">
        <v>36</v>
      </c>
      <c r="T79" s="103">
        <v>16</v>
      </c>
      <c r="U79" s="103">
        <v>5</v>
      </c>
      <c r="V79" s="103">
        <v>0</v>
      </c>
      <c r="W79" s="103">
        <v>0</v>
      </c>
      <c r="X79" s="104">
        <v>1</v>
      </c>
      <c r="Y79" s="104">
        <v>0</v>
      </c>
      <c r="Z79" s="104">
        <v>0</v>
      </c>
      <c r="AC79" s="103">
        <v>0</v>
      </c>
    </row>
    <row r="80" spans="1:29">
      <c r="A80" s="105" t="s">
        <v>1560</v>
      </c>
      <c r="B80" s="105" t="s">
        <v>1537</v>
      </c>
      <c r="C80" s="105" t="s">
        <v>794</v>
      </c>
      <c r="D80" s="105" t="s">
        <v>1554</v>
      </c>
      <c r="E80" s="105" t="s">
        <v>1536</v>
      </c>
      <c r="F80" s="105" t="s">
        <v>1537</v>
      </c>
      <c r="M80" s="105" t="s">
        <v>1538</v>
      </c>
      <c r="N80" s="105" t="s">
        <v>1464</v>
      </c>
      <c r="O80" s="102">
        <v>44802</v>
      </c>
      <c r="P80" s="102">
        <v>44820</v>
      </c>
      <c r="Q80" s="102">
        <v>44808</v>
      </c>
      <c r="R80" s="102">
        <v>44814</v>
      </c>
      <c r="S80" s="103">
        <v>37</v>
      </c>
      <c r="T80" s="103">
        <v>17</v>
      </c>
      <c r="U80" s="103">
        <v>4</v>
      </c>
      <c r="V80" s="103">
        <v>0</v>
      </c>
      <c r="W80" s="103">
        <v>0</v>
      </c>
      <c r="X80" s="104">
        <v>1</v>
      </c>
      <c r="Y80" s="104">
        <v>0</v>
      </c>
      <c r="Z80" s="104">
        <v>0</v>
      </c>
      <c r="AC80" s="103">
        <v>0</v>
      </c>
    </row>
    <row r="81" spans="1:29">
      <c r="A81" s="105" t="s">
        <v>1560</v>
      </c>
      <c r="B81" s="105" t="s">
        <v>1537</v>
      </c>
      <c r="C81" s="105" t="s">
        <v>794</v>
      </c>
      <c r="D81" s="105" t="s">
        <v>1554</v>
      </c>
      <c r="E81" s="105" t="s">
        <v>1536</v>
      </c>
      <c r="F81" s="105" t="s">
        <v>1537</v>
      </c>
      <c r="M81" s="105" t="s">
        <v>1538</v>
      </c>
      <c r="N81" s="105" t="s">
        <v>1464</v>
      </c>
      <c r="O81" s="102">
        <v>44802</v>
      </c>
      <c r="P81" s="102">
        <v>44820</v>
      </c>
      <c r="Q81" s="102">
        <v>44815</v>
      </c>
      <c r="R81" s="102">
        <v>44821</v>
      </c>
      <c r="S81" s="103">
        <v>38</v>
      </c>
      <c r="T81" s="103">
        <v>18</v>
      </c>
      <c r="U81" s="103">
        <v>4</v>
      </c>
      <c r="V81" s="103">
        <v>0</v>
      </c>
      <c r="W81" s="103">
        <v>0</v>
      </c>
      <c r="X81" s="104">
        <v>1</v>
      </c>
      <c r="Y81" s="104">
        <v>0</v>
      </c>
      <c r="Z81" s="104">
        <v>0</v>
      </c>
      <c r="AC81" s="103">
        <v>0</v>
      </c>
    </row>
    <row r="82" spans="1:29">
      <c r="A82" s="105" t="s">
        <v>1560</v>
      </c>
      <c r="B82" s="105" t="s">
        <v>1539</v>
      </c>
      <c r="C82" s="105" t="s">
        <v>794</v>
      </c>
      <c r="D82" s="105" t="s">
        <v>1554</v>
      </c>
      <c r="E82" s="105" t="s">
        <v>1536</v>
      </c>
      <c r="F82" s="105" t="s">
        <v>1539</v>
      </c>
      <c r="M82" s="105" t="s">
        <v>1540</v>
      </c>
      <c r="N82" s="105" t="s">
        <v>1464</v>
      </c>
      <c r="O82" s="102">
        <v>44823</v>
      </c>
      <c r="P82" s="102">
        <v>44827</v>
      </c>
      <c r="Q82" s="102">
        <v>44822</v>
      </c>
      <c r="R82" s="102">
        <v>44828</v>
      </c>
      <c r="S82" s="103">
        <v>39</v>
      </c>
      <c r="T82" s="103">
        <v>19</v>
      </c>
      <c r="U82" s="103">
        <v>5</v>
      </c>
      <c r="V82" s="103">
        <v>0</v>
      </c>
      <c r="W82" s="103">
        <v>0</v>
      </c>
      <c r="X82" s="104">
        <v>1</v>
      </c>
      <c r="Y82" s="104">
        <v>0</v>
      </c>
      <c r="Z82" s="104">
        <v>0</v>
      </c>
      <c r="AC82" s="103">
        <v>0</v>
      </c>
    </row>
    <row r="83" spans="1:29">
      <c r="A83" s="105" t="s">
        <v>1560</v>
      </c>
      <c r="B83" s="105" t="s">
        <v>1542</v>
      </c>
      <c r="C83" s="105" t="s">
        <v>794</v>
      </c>
      <c r="D83" s="105" t="s">
        <v>1555</v>
      </c>
      <c r="E83" s="105" t="s">
        <v>1541</v>
      </c>
      <c r="F83" s="105" t="s">
        <v>1542</v>
      </c>
      <c r="M83" s="105" t="s">
        <v>1543</v>
      </c>
      <c r="N83" s="105" t="s">
        <v>1464</v>
      </c>
      <c r="O83" s="102">
        <v>44823</v>
      </c>
      <c r="P83" s="102">
        <v>44825</v>
      </c>
      <c r="Q83" s="102">
        <v>44822</v>
      </c>
      <c r="R83" s="102">
        <v>44828</v>
      </c>
      <c r="S83" s="103">
        <v>39</v>
      </c>
      <c r="T83" s="103">
        <v>19</v>
      </c>
      <c r="U83" s="103">
        <v>3</v>
      </c>
      <c r="V83" s="103">
        <v>0</v>
      </c>
      <c r="W83" s="103">
        <v>0</v>
      </c>
      <c r="X83" s="104">
        <v>1</v>
      </c>
      <c r="Y83" s="104">
        <v>0</v>
      </c>
      <c r="Z83" s="104">
        <v>0</v>
      </c>
      <c r="AC83" s="103">
        <v>0</v>
      </c>
    </row>
    <row r="84" spans="1:29">
      <c r="A84" s="105" t="s">
        <v>1560</v>
      </c>
      <c r="B84" s="105" t="s">
        <v>1545</v>
      </c>
      <c r="C84" s="105" t="s">
        <v>794</v>
      </c>
      <c r="D84" s="105" t="s">
        <v>1555</v>
      </c>
      <c r="E84" s="105" t="s">
        <v>1544</v>
      </c>
      <c r="F84" s="105" t="s">
        <v>1545</v>
      </c>
      <c r="M84" s="105" t="s">
        <v>1546</v>
      </c>
      <c r="N84" s="105" t="s">
        <v>1464</v>
      </c>
      <c r="O84" s="102">
        <v>44827</v>
      </c>
      <c r="P84" s="102">
        <v>44830</v>
      </c>
      <c r="Q84" s="102">
        <v>44822</v>
      </c>
      <c r="R84" s="102">
        <v>44828</v>
      </c>
      <c r="S84" s="103">
        <v>39</v>
      </c>
      <c r="T84" s="103">
        <v>19</v>
      </c>
      <c r="U84" s="103">
        <v>1</v>
      </c>
      <c r="V84" s="103">
        <v>0</v>
      </c>
      <c r="W84" s="103">
        <v>0</v>
      </c>
      <c r="X84" s="104">
        <v>1</v>
      </c>
      <c r="Y84" s="104">
        <v>0</v>
      </c>
      <c r="Z84" s="104">
        <v>0</v>
      </c>
      <c r="AC84" s="103">
        <v>0</v>
      </c>
    </row>
    <row r="85" spans="1:29">
      <c r="A85" s="105" t="s">
        <v>1560</v>
      </c>
      <c r="B85" s="105" t="s">
        <v>1545</v>
      </c>
      <c r="C85" s="105" t="s">
        <v>794</v>
      </c>
      <c r="D85" s="105" t="s">
        <v>1555</v>
      </c>
      <c r="E85" s="105" t="s">
        <v>1544</v>
      </c>
      <c r="F85" s="105" t="s">
        <v>1545</v>
      </c>
      <c r="M85" s="105" t="s">
        <v>1546</v>
      </c>
      <c r="N85" s="105" t="s">
        <v>1464</v>
      </c>
      <c r="O85" s="102">
        <v>44827</v>
      </c>
      <c r="P85" s="102">
        <v>44830</v>
      </c>
      <c r="Q85" s="102">
        <v>44829</v>
      </c>
      <c r="R85" s="102">
        <v>44835</v>
      </c>
      <c r="S85" s="103">
        <v>40</v>
      </c>
      <c r="T85" s="103">
        <v>20</v>
      </c>
      <c r="U85" s="103">
        <v>1</v>
      </c>
      <c r="V85" s="103">
        <v>0</v>
      </c>
      <c r="W85" s="103">
        <v>0</v>
      </c>
      <c r="X85" s="104">
        <v>1</v>
      </c>
      <c r="Y85" s="104">
        <v>0</v>
      </c>
      <c r="Z85" s="104">
        <v>0</v>
      </c>
      <c r="AC85" s="103">
        <v>0</v>
      </c>
    </row>
    <row r="86" spans="1:29">
      <c r="A86" s="105" t="s">
        <v>1560</v>
      </c>
      <c r="B86" s="105" t="s">
        <v>1547</v>
      </c>
      <c r="C86" s="105" t="s">
        <v>794</v>
      </c>
      <c r="D86" s="105" t="s">
        <v>1555</v>
      </c>
      <c r="E86" s="105" t="s">
        <v>1544</v>
      </c>
      <c r="F86" s="105" t="s">
        <v>1547</v>
      </c>
      <c r="M86" s="105" t="s">
        <v>1548</v>
      </c>
      <c r="N86" s="105" t="s">
        <v>1464</v>
      </c>
      <c r="O86" s="102">
        <v>44831</v>
      </c>
      <c r="P86" s="102">
        <v>44833</v>
      </c>
      <c r="Q86" s="102">
        <v>44829</v>
      </c>
      <c r="R86" s="102">
        <v>44835</v>
      </c>
      <c r="S86" s="103">
        <v>40</v>
      </c>
      <c r="T86" s="103">
        <v>20</v>
      </c>
      <c r="U86" s="103">
        <v>3</v>
      </c>
      <c r="V86" s="103">
        <v>0</v>
      </c>
      <c r="W86" s="103">
        <v>0</v>
      </c>
      <c r="X86" s="104">
        <v>1</v>
      </c>
      <c r="Y86" s="104">
        <v>0</v>
      </c>
      <c r="Z86" s="104">
        <v>0</v>
      </c>
      <c r="AC86" s="103">
        <v>0</v>
      </c>
    </row>
    <row r="87" spans="1:29">
      <c r="A87" s="105" t="s">
        <v>1560</v>
      </c>
      <c r="B87" s="105" t="s">
        <v>1549</v>
      </c>
      <c r="C87" s="105" t="s">
        <v>794</v>
      </c>
      <c r="D87" s="105" t="s">
        <v>1555</v>
      </c>
      <c r="E87" s="105" t="s">
        <v>1544</v>
      </c>
      <c r="F87" s="105" t="s">
        <v>1549</v>
      </c>
      <c r="M87" s="105" t="s">
        <v>1550</v>
      </c>
      <c r="N87" s="105" t="s">
        <v>1464</v>
      </c>
      <c r="O87" s="102">
        <v>44834</v>
      </c>
      <c r="P87" s="102">
        <v>44839</v>
      </c>
      <c r="Q87" s="102">
        <v>44829</v>
      </c>
      <c r="R87" s="102">
        <v>44835</v>
      </c>
      <c r="S87" s="103">
        <v>40</v>
      </c>
      <c r="T87" s="103">
        <v>20</v>
      </c>
      <c r="U87" s="103">
        <v>1</v>
      </c>
      <c r="V87" s="103">
        <v>0</v>
      </c>
      <c r="W87" s="103">
        <v>0</v>
      </c>
      <c r="X87" s="104">
        <v>1</v>
      </c>
      <c r="Y87" s="104">
        <v>0</v>
      </c>
      <c r="Z87" s="104">
        <v>0</v>
      </c>
      <c r="AC87" s="103">
        <v>0</v>
      </c>
    </row>
    <row r="88" spans="1:29">
      <c r="A88" s="105" t="s">
        <v>1560</v>
      </c>
      <c r="B88" s="105" t="s">
        <v>1549</v>
      </c>
      <c r="C88" s="105" t="s">
        <v>794</v>
      </c>
      <c r="D88" s="105" t="s">
        <v>1555</v>
      </c>
      <c r="E88" s="105" t="s">
        <v>1544</v>
      </c>
      <c r="F88" s="105" t="s">
        <v>1549</v>
      </c>
      <c r="M88" s="105" t="s">
        <v>1550</v>
      </c>
      <c r="N88" s="105" t="s">
        <v>1464</v>
      </c>
      <c r="O88" s="102">
        <v>44834</v>
      </c>
      <c r="P88" s="102">
        <v>44839</v>
      </c>
      <c r="Q88" s="102">
        <v>44836</v>
      </c>
      <c r="R88" s="102">
        <v>44842</v>
      </c>
      <c r="S88" s="103">
        <v>41</v>
      </c>
      <c r="T88" s="103">
        <v>21</v>
      </c>
      <c r="U88" s="103">
        <v>2</v>
      </c>
      <c r="V88" s="103">
        <v>0</v>
      </c>
      <c r="W88" s="103">
        <v>0</v>
      </c>
      <c r="X88" s="104">
        <v>1</v>
      </c>
      <c r="Y88" s="104">
        <v>0</v>
      </c>
      <c r="Z88" s="104">
        <v>0</v>
      </c>
      <c r="AC88" s="103">
        <v>0</v>
      </c>
    </row>
    <row r="89" spans="1:29">
      <c r="A89" s="105" t="s">
        <v>1560</v>
      </c>
      <c r="B89" s="105" t="s">
        <v>1551</v>
      </c>
      <c r="C89" s="105" t="s">
        <v>794</v>
      </c>
      <c r="D89" s="105" t="s">
        <v>1555</v>
      </c>
      <c r="E89" s="105" t="s">
        <v>1544</v>
      </c>
      <c r="F89" s="105" t="s">
        <v>1551</v>
      </c>
      <c r="M89" s="105" t="s">
        <v>1552</v>
      </c>
      <c r="N89" s="105" t="s">
        <v>1464</v>
      </c>
      <c r="O89" s="102">
        <v>44840</v>
      </c>
      <c r="P89" s="102">
        <v>44840</v>
      </c>
      <c r="Q89" s="102">
        <v>44836</v>
      </c>
      <c r="R89" s="102">
        <v>44842</v>
      </c>
      <c r="S89" s="103">
        <v>41</v>
      </c>
      <c r="T89" s="103">
        <v>21</v>
      </c>
      <c r="U89" s="103">
        <v>0</v>
      </c>
      <c r="V89" s="103">
        <v>0</v>
      </c>
      <c r="W89" s="103">
        <v>0</v>
      </c>
      <c r="X89" s="104">
        <v>0</v>
      </c>
      <c r="Y89" s="104">
        <v>0</v>
      </c>
      <c r="Z89" s="104">
        <v>0</v>
      </c>
      <c r="AC89" s="103">
        <v>0</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AB109"/>
  <sheetViews>
    <sheetView zoomScale="85" zoomScaleNormal="85" workbookViewId="0">
      <pane ySplit="1" topLeftCell="A2" activePane="bottomLeft" state="frozen"/>
      <selection pane="bottomLeft" activeCell="C10" sqref="C10"/>
    </sheetView>
  </sheetViews>
  <sheetFormatPr defaultColWidth="10" defaultRowHeight="13.8"/>
  <cols>
    <col min="1" max="1" width="6.19921875" style="69" customWidth="1"/>
    <col min="2" max="2" width="33.19921875" style="69" bestFit="1" customWidth="1"/>
    <col min="3" max="3" width="20.19921875" style="68" customWidth="1"/>
    <col min="4" max="4" width="23.09765625" style="68" customWidth="1"/>
    <col min="5" max="5" width="10" style="68" customWidth="1"/>
    <col min="6" max="6" width="15.19921875" style="68" customWidth="1"/>
    <col min="7" max="7" width="21.19921875" style="68" bestFit="1" customWidth="1"/>
    <col min="8" max="8" width="40.3984375" style="69" customWidth="1"/>
    <col min="9" max="9" width="23.59765625" style="69" bestFit="1" customWidth="1"/>
    <col min="10" max="10" width="9.5" style="69" bestFit="1" customWidth="1"/>
    <col min="11" max="11" width="22.5" style="69" bestFit="1" customWidth="1"/>
    <col min="12" max="12" width="60.69921875" style="69" bestFit="1" customWidth="1"/>
    <col min="13" max="13" width="25.09765625" style="69" bestFit="1" customWidth="1"/>
    <col min="14" max="14" width="4.69921875" style="69" bestFit="1" customWidth="1"/>
    <col min="15" max="15" width="23" style="69" bestFit="1" customWidth="1"/>
    <col min="16" max="16" width="8" style="69" bestFit="1" customWidth="1"/>
    <col min="17" max="17" width="28.3984375" style="69" bestFit="1" customWidth="1"/>
    <col min="18" max="18" width="6" style="69" bestFit="1" customWidth="1"/>
    <col min="19" max="19" width="27.69921875" style="69" bestFit="1" customWidth="1"/>
    <col min="20" max="20" width="4.69921875" style="69" bestFit="1" customWidth="1"/>
    <col min="21" max="21" width="24.3984375" style="69" bestFit="1" customWidth="1"/>
    <col min="22" max="22" width="4.19921875" style="69" bestFit="1" customWidth="1"/>
    <col min="23" max="23" width="28.8984375" style="69" bestFit="1" customWidth="1"/>
    <col min="24" max="24" width="8" style="69" bestFit="1" customWidth="1"/>
    <col min="25" max="25" width="22.59765625" style="69" bestFit="1" customWidth="1"/>
    <col min="26" max="26" width="4.8984375" style="69" bestFit="1" customWidth="1"/>
    <col min="27" max="27" width="24.3984375" style="69" hidden="1" customWidth="1"/>
    <col min="28" max="28" width="7.3984375" style="69" hidden="1" customWidth="1"/>
    <col min="29" max="29" width="19.69921875" style="69" bestFit="1" customWidth="1"/>
    <col min="30" max="30" width="4.19921875" style="69" bestFit="1" customWidth="1"/>
    <col min="31" max="31" width="15.3984375" style="69" bestFit="1" customWidth="1"/>
    <col min="32" max="32" width="39.59765625" style="69" bestFit="1" customWidth="1"/>
    <col min="33" max="33" width="35.69921875" style="69" bestFit="1" customWidth="1"/>
    <col min="34" max="34" width="4.8984375" style="69" bestFit="1" customWidth="1"/>
    <col min="35" max="35" width="24.19921875" style="69" bestFit="1" customWidth="1"/>
    <col min="36" max="36" width="8.69921875" style="69" bestFit="1" customWidth="1"/>
    <col min="37" max="37" width="26" style="69" bestFit="1" customWidth="1"/>
    <col min="38" max="38" width="4.59765625" style="69" bestFit="1" customWidth="1"/>
    <col min="39" max="39" width="35.59765625" style="69" bestFit="1" customWidth="1"/>
    <col min="40" max="40" width="33.3984375" style="69" bestFit="1" customWidth="1"/>
    <col min="41" max="41" width="22.59765625" style="69" bestFit="1" customWidth="1"/>
    <col min="42" max="42" width="5.19921875" style="69" bestFit="1" customWidth="1"/>
    <col min="43" max="43" width="16.59765625" style="69" bestFit="1" customWidth="1"/>
    <col min="44" max="44" width="93.3984375" style="69" bestFit="1" customWidth="1"/>
    <col min="45" max="45" width="21" style="69" bestFit="1" customWidth="1"/>
    <col min="46" max="46" width="5.5" style="69" bestFit="1" customWidth="1"/>
    <col min="47" max="47" width="14.8984375" style="69" bestFit="1" customWidth="1"/>
    <col min="48" max="48" width="28.59765625" style="69" bestFit="1" customWidth="1"/>
    <col min="49" max="49" width="22.59765625" style="69" bestFit="1" customWidth="1"/>
    <col min="50" max="50" width="4.8984375" style="69" bestFit="1" customWidth="1"/>
    <col min="51" max="51" width="15.59765625" style="69" bestFit="1" customWidth="1"/>
    <col min="52" max="53" width="13.09765625" style="69" bestFit="1" customWidth="1"/>
    <col min="54" max="55" width="14.8984375" style="69" bestFit="1" customWidth="1"/>
    <col min="56" max="57" width="22.59765625" style="69" bestFit="1" customWidth="1"/>
    <col min="58" max="59" width="15.59765625" style="69" bestFit="1" customWidth="1"/>
    <col min="60" max="61" width="13.09765625" style="69" bestFit="1" customWidth="1"/>
    <col min="62" max="63" width="14.8984375" style="69" bestFit="1" customWidth="1"/>
    <col min="64" max="65" width="22.59765625" style="69" bestFit="1" customWidth="1"/>
    <col min="66" max="66" width="10" style="69"/>
    <col min="67" max="67" width="33.69921875" style="69" bestFit="1" customWidth="1"/>
    <col min="68" max="16384" width="10" style="69"/>
  </cols>
  <sheetData>
    <row r="1" spans="1:8" s="68" customFormat="1">
      <c r="A1" s="67" t="s">
        <v>666</v>
      </c>
      <c r="B1" s="67" t="s">
        <v>663</v>
      </c>
      <c r="C1" s="67" t="s">
        <v>664</v>
      </c>
      <c r="D1" s="67" t="s">
        <v>665</v>
      </c>
      <c r="E1" s="67" t="s">
        <v>3</v>
      </c>
      <c r="F1" s="67" t="s">
        <v>4</v>
      </c>
      <c r="G1" s="67" t="s">
        <v>5</v>
      </c>
      <c r="H1" s="67" t="s">
        <v>667</v>
      </c>
    </row>
    <row r="2" spans="1:8">
      <c r="A2" s="173" t="s">
        <v>662</v>
      </c>
      <c r="B2" s="173" t="s">
        <v>6</v>
      </c>
      <c r="C2" s="174" t="s">
        <v>7</v>
      </c>
      <c r="D2" s="174"/>
      <c r="E2" s="174"/>
      <c r="F2" s="174"/>
      <c r="G2" s="174"/>
      <c r="H2" s="174" t="s">
        <v>8</v>
      </c>
    </row>
    <row r="3" spans="1:8">
      <c r="A3" s="173" t="s">
        <v>662</v>
      </c>
      <c r="B3" s="173" t="s">
        <v>338</v>
      </c>
      <c r="C3" s="174" t="s">
        <v>7</v>
      </c>
      <c r="D3" s="174"/>
      <c r="E3" s="174"/>
      <c r="F3" s="174"/>
      <c r="G3" s="174"/>
      <c r="H3" s="174" t="s">
        <v>8</v>
      </c>
    </row>
    <row r="4" spans="1:8">
      <c r="A4" s="173" t="s">
        <v>662</v>
      </c>
      <c r="B4" s="173" t="s">
        <v>9</v>
      </c>
      <c r="C4" s="190" t="s">
        <v>339</v>
      </c>
      <c r="D4" s="174"/>
      <c r="E4" s="174"/>
      <c r="F4" s="174"/>
      <c r="G4" s="174"/>
      <c r="H4" s="174" t="s">
        <v>8</v>
      </c>
    </row>
    <row r="5" spans="1:8">
      <c r="A5" s="173" t="s">
        <v>662</v>
      </c>
      <c r="B5" s="173" t="s">
        <v>10</v>
      </c>
      <c r="C5" s="174" t="s">
        <v>11</v>
      </c>
      <c r="D5" s="174"/>
      <c r="E5" s="174"/>
      <c r="F5" s="174"/>
      <c r="G5" s="174"/>
      <c r="H5" s="174" t="s">
        <v>8</v>
      </c>
    </row>
    <row r="6" spans="1:8" ht="14.4">
      <c r="A6" s="173" t="s">
        <v>662</v>
      </c>
      <c r="B6" s="173" t="s">
        <v>12</v>
      </c>
      <c r="C6" s="191" t="s">
        <v>800</v>
      </c>
      <c r="D6" s="174"/>
      <c r="E6" s="174"/>
      <c r="F6" s="174"/>
      <c r="G6" s="174"/>
      <c r="H6" s="174" t="s">
        <v>8</v>
      </c>
    </row>
    <row r="7" spans="1:8">
      <c r="A7" s="173" t="s">
        <v>662</v>
      </c>
      <c r="B7" s="173" t="s">
        <v>13</v>
      </c>
      <c r="C7" s="173" t="s">
        <v>7</v>
      </c>
      <c r="D7" s="174"/>
      <c r="E7" s="174"/>
      <c r="F7" s="174"/>
      <c r="G7" s="174"/>
      <c r="H7" s="174" t="s">
        <v>8</v>
      </c>
    </row>
    <row r="8" spans="1:8">
      <c r="A8" s="193" t="s">
        <v>662</v>
      </c>
      <c r="B8" s="193" t="s">
        <v>14</v>
      </c>
      <c r="C8" s="194" t="s">
        <v>744</v>
      </c>
      <c r="D8" s="195" t="s">
        <v>1367</v>
      </c>
      <c r="E8" s="195">
        <v>82</v>
      </c>
      <c r="F8" s="195"/>
      <c r="G8" s="193"/>
      <c r="H8" s="195" t="s">
        <v>754</v>
      </c>
    </row>
    <row r="9" spans="1:8">
      <c r="A9" s="173" t="s">
        <v>662</v>
      </c>
      <c r="B9" s="173" t="s">
        <v>15</v>
      </c>
      <c r="C9" s="192">
        <v>44717</v>
      </c>
      <c r="D9" s="174"/>
      <c r="E9" s="174"/>
      <c r="F9" s="174"/>
      <c r="G9" s="174"/>
      <c r="H9" s="174" t="s">
        <v>8</v>
      </c>
    </row>
    <row r="10" spans="1:8">
      <c r="A10" s="173" t="s">
        <v>662</v>
      </c>
      <c r="B10" s="173" t="s">
        <v>16</v>
      </c>
      <c r="C10" s="174" t="s">
        <v>17</v>
      </c>
      <c r="D10" s="174"/>
      <c r="E10" s="174"/>
      <c r="F10" s="174"/>
      <c r="G10" s="174"/>
      <c r="H10" s="174" t="s">
        <v>8</v>
      </c>
    </row>
    <row r="11" spans="1:8">
      <c r="A11" s="69" t="s">
        <v>795</v>
      </c>
      <c r="B11" s="69" t="s">
        <v>769</v>
      </c>
      <c r="C11" s="68">
        <v>1</v>
      </c>
      <c r="G11" s="71">
        <v>44718.087997685187</v>
      </c>
    </row>
    <row r="12" spans="1:8">
      <c r="A12" s="69" t="s">
        <v>795</v>
      </c>
      <c r="B12" s="69" t="s">
        <v>768</v>
      </c>
      <c r="C12" s="68">
        <v>1</v>
      </c>
    </row>
    <row r="13" spans="1:8">
      <c r="A13" s="69" t="s">
        <v>795</v>
      </c>
      <c r="B13" s="69" t="s">
        <v>704</v>
      </c>
      <c r="C13" s="68">
        <v>1</v>
      </c>
      <c r="G13" s="71">
        <v>44718.087997685187</v>
      </c>
    </row>
    <row r="14" spans="1:8">
      <c r="A14" s="69" t="s">
        <v>795</v>
      </c>
      <c r="B14" s="69" t="s">
        <v>705</v>
      </c>
      <c r="C14" s="68">
        <v>0</v>
      </c>
      <c r="G14" s="71">
        <v>44718.087997685187</v>
      </c>
    </row>
    <row r="15" spans="1:8">
      <c r="A15" s="69" t="s">
        <v>795</v>
      </c>
      <c r="B15" s="69" t="s">
        <v>703</v>
      </c>
      <c r="C15" s="68">
        <v>1</v>
      </c>
      <c r="G15" s="71">
        <v>44718.087997685187</v>
      </c>
    </row>
    <row r="16" spans="1:8">
      <c r="A16" s="69" t="s">
        <v>795</v>
      </c>
      <c r="B16" s="69" t="s">
        <v>756</v>
      </c>
      <c r="C16" s="68">
        <v>1</v>
      </c>
      <c r="G16" s="71">
        <v>44718.087997685187</v>
      </c>
    </row>
    <row r="17" spans="1:7">
      <c r="A17" s="69" t="s">
        <v>795</v>
      </c>
      <c r="B17" s="69" t="s">
        <v>763</v>
      </c>
      <c r="C17" s="68">
        <v>1</v>
      </c>
      <c r="G17" s="71">
        <v>44718.087997685187</v>
      </c>
    </row>
    <row r="18" spans="1:7">
      <c r="A18" s="69" t="s">
        <v>795</v>
      </c>
      <c r="B18" s="69" t="s">
        <v>764</v>
      </c>
      <c r="C18" s="68">
        <v>1</v>
      </c>
      <c r="G18" s="71">
        <v>44718.087997685187</v>
      </c>
    </row>
    <row r="19" spans="1:7">
      <c r="A19" s="69" t="s">
        <v>795</v>
      </c>
      <c r="B19" s="69" t="s">
        <v>762</v>
      </c>
      <c r="C19" s="68" t="s">
        <v>637</v>
      </c>
      <c r="G19" s="71">
        <v>44718.087997685187</v>
      </c>
    </row>
    <row r="20" spans="1:7">
      <c r="A20" s="69" t="s">
        <v>795</v>
      </c>
      <c r="B20" s="69" t="s">
        <v>706</v>
      </c>
      <c r="C20" s="68">
        <v>0</v>
      </c>
      <c r="G20" s="71">
        <v>44718.087997685187</v>
      </c>
    </row>
    <row r="21" spans="1:7">
      <c r="A21" s="69" t="s">
        <v>795</v>
      </c>
      <c r="B21" s="69" t="s">
        <v>761</v>
      </c>
      <c r="C21" s="68">
        <v>0</v>
      </c>
      <c r="G21" s="71">
        <v>44718.087997685187</v>
      </c>
    </row>
    <row r="22" spans="1:7">
      <c r="A22" s="69" t="s">
        <v>795</v>
      </c>
      <c r="B22" s="69" t="s">
        <v>765</v>
      </c>
      <c r="C22" s="68">
        <v>1</v>
      </c>
      <c r="G22" s="71">
        <v>44718.087997685187</v>
      </c>
    </row>
    <row r="23" spans="1:7">
      <c r="A23" s="69" t="s">
        <v>795</v>
      </c>
      <c r="B23" s="69" t="s">
        <v>708</v>
      </c>
      <c r="C23" s="68">
        <v>1</v>
      </c>
      <c r="G23" s="71">
        <v>44718.087997685187</v>
      </c>
    </row>
    <row r="24" spans="1:7">
      <c r="A24" s="69" t="s">
        <v>795</v>
      </c>
      <c r="B24" s="69" t="s">
        <v>758</v>
      </c>
      <c r="C24" s="70">
        <v>44949</v>
      </c>
      <c r="G24" s="71">
        <v>44944.596273148149</v>
      </c>
    </row>
    <row r="25" spans="1:7">
      <c r="A25" s="69" t="s">
        <v>795</v>
      </c>
      <c r="B25" s="69" t="s">
        <v>755</v>
      </c>
      <c r="C25" s="68" t="s">
        <v>1377</v>
      </c>
      <c r="G25" s="71">
        <v>44718.087997685187</v>
      </c>
    </row>
    <row r="26" spans="1:7">
      <c r="A26" s="69" t="s">
        <v>795</v>
      </c>
      <c r="B26" s="69" t="s">
        <v>757</v>
      </c>
      <c r="C26" s="70">
        <v>44936</v>
      </c>
      <c r="G26" s="71">
        <v>44944.596273148149</v>
      </c>
    </row>
    <row r="27" spans="1:7">
      <c r="A27" s="69" t="s">
        <v>795</v>
      </c>
      <c r="B27" s="69" t="s">
        <v>759</v>
      </c>
      <c r="C27" s="68" t="s">
        <v>1368</v>
      </c>
      <c r="G27" s="71">
        <v>44944.595312500001</v>
      </c>
    </row>
    <row r="28" spans="1:7">
      <c r="A28" s="69" t="s">
        <v>795</v>
      </c>
      <c r="B28" s="69" t="s">
        <v>760</v>
      </c>
      <c r="C28" s="68">
        <v>1</v>
      </c>
      <c r="G28" s="71">
        <v>44718.087997685187</v>
      </c>
    </row>
    <row r="29" spans="1:7">
      <c r="A29" s="69" t="s">
        <v>795</v>
      </c>
      <c r="B29" s="69" t="s">
        <v>766</v>
      </c>
      <c r="C29" s="68">
        <v>20</v>
      </c>
      <c r="G29" s="71">
        <v>44718.087997685187</v>
      </c>
    </row>
    <row r="30" spans="1:7">
      <c r="A30" s="69" t="s">
        <v>795</v>
      </c>
      <c r="B30" s="69" t="s">
        <v>767</v>
      </c>
      <c r="C30" s="68">
        <v>10</v>
      </c>
      <c r="G30" s="71">
        <v>44718.087997685187</v>
      </c>
    </row>
    <row r="31" spans="1:7">
      <c r="A31" s="69" t="s">
        <v>1374</v>
      </c>
      <c r="B31" s="69" t="s">
        <v>1375</v>
      </c>
      <c r="C31" s="68">
        <v>-4105</v>
      </c>
      <c r="F31" s="71"/>
      <c r="G31" s="71">
        <v>44944.596273148149</v>
      </c>
    </row>
    <row r="32" spans="1:7">
      <c r="A32" s="69" t="s">
        <v>796</v>
      </c>
      <c r="B32" s="69" t="s">
        <v>777</v>
      </c>
      <c r="C32" s="68">
        <v>1</v>
      </c>
      <c r="G32" s="71">
        <v>44718.087997685187</v>
      </c>
    </row>
    <row r="33" spans="1:7">
      <c r="A33" s="69" t="s">
        <v>796</v>
      </c>
      <c r="B33" s="69" t="s">
        <v>780</v>
      </c>
      <c r="C33" s="68">
        <v>0</v>
      </c>
    </row>
    <row r="34" spans="1:7">
      <c r="A34" s="69" t="s">
        <v>796</v>
      </c>
      <c r="B34" s="69" t="s">
        <v>709</v>
      </c>
      <c r="C34" s="68">
        <v>1</v>
      </c>
      <c r="G34" s="71">
        <v>44718.087997685187</v>
      </c>
    </row>
    <row r="35" spans="1:7">
      <c r="A35" s="69" t="s">
        <v>796</v>
      </c>
      <c r="B35" s="69" t="s">
        <v>711</v>
      </c>
      <c r="C35" s="68">
        <v>1</v>
      </c>
      <c r="G35" s="71">
        <v>44718.087997685187</v>
      </c>
    </row>
    <row r="36" spans="1:7">
      <c r="A36" s="69" t="s">
        <v>796</v>
      </c>
      <c r="B36" s="69" t="s">
        <v>710</v>
      </c>
      <c r="C36" s="68">
        <v>1</v>
      </c>
      <c r="G36" s="71">
        <v>44718.087997685187</v>
      </c>
    </row>
    <row r="37" spans="1:7">
      <c r="A37" s="69" t="s">
        <v>796</v>
      </c>
      <c r="B37" s="69" t="s">
        <v>771</v>
      </c>
      <c r="C37" s="68">
        <v>0</v>
      </c>
      <c r="G37" s="71">
        <v>44718.087997685187</v>
      </c>
    </row>
    <row r="38" spans="1:7">
      <c r="A38" s="69" t="s">
        <v>796</v>
      </c>
      <c r="B38" s="69" t="s">
        <v>774</v>
      </c>
      <c r="C38" s="68">
        <v>1</v>
      </c>
      <c r="G38" s="71">
        <v>44718.087997685187</v>
      </c>
    </row>
    <row r="39" spans="1:7">
      <c r="A39" s="69" t="s">
        <v>796</v>
      </c>
      <c r="B39" s="69" t="s">
        <v>785</v>
      </c>
      <c r="C39" s="68">
        <v>2</v>
      </c>
      <c r="G39" s="71">
        <v>44718.087997685187</v>
      </c>
    </row>
    <row r="40" spans="1:7">
      <c r="A40" s="69" t="s">
        <v>796</v>
      </c>
      <c r="B40" s="69" t="s">
        <v>775</v>
      </c>
      <c r="C40" s="68">
        <v>0.7</v>
      </c>
    </row>
    <row r="41" spans="1:7">
      <c r="A41" s="69" t="s">
        <v>796</v>
      </c>
      <c r="B41" s="69" t="s">
        <v>784</v>
      </c>
      <c r="C41" s="68">
        <v>1</v>
      </c>
      <c r="G41" s="71">
        <v>44718.087997685187</v>
      </c>
    </row>
    <row r="42" spans="1:7">
      <c r="A42" s="69" t="s">
        <v>796</v>
      </c>
      <c r="B42" s="69" t="s">
        <v>778</v>
      </c>
      <c r="C42" s="68">
        <v>1</v>
      </c>
      <c r="G42" s="71">
        <v>44718.087997685187</v>
      </c>
    </row>
    <row r="43" spans="1:7">
      <c r="A43" s="69" t="s">
        <v>796</v>
      </c>
      <c r="B43" s="69" t="s">
        <v>788</v>
      </c>
      <c r="C43" s="68">
        <v>-4131</v>
      </c>
      <c r="G43" s="71">
        <v>44718.087997685187</v>
      </c>
    </row>
    <row r="44" spans="1:7">
      <c r="A44" s="69" t="s">
        <v>796</v>
      </c>
      <c r="B44" s="69" t="s">
        <v>779</v>
      </c>
      <c r="C44" s="68">
        <v>7</v>
      </c>
      <c r="G44" s="71">
        <v>44718.087997685187</v>
      </c>
    </row>
    <row r="45" spans="1:7">
      <c r="A45" s="69" t="s">
        <v>796</v>
      </c>
      <c r="B45" s="69" t="s">
        <v>781</v>
      </c>
      <c r="C45" s="68">
        <v>0</v>
      </c>
      <c r="G45" s="71">
        <v>44718.087997685187</v>
      </c>
    </row>
    <row r="46" spans="1:7">
      <c r="A46" s="69" t="s">
        <v>796</v>
      </c>
      <c r="B46" s="69" t="s">
        <v>782</v>
      </c>
      <c r="C46" s="68">
        <v>1</v>
      </c>
      <c r="G46" s="71">
        <v>44718.087997685187</v>
      </c>
    </row>
    <row r="47" spans="1:7">
      <c r="A47" s="69" t="s">
        <v>796</v>
      </c>
      <c r="B47" s="69" t="s">
        <v>783</v>
      </c>
      <c r="C47" s="68">
        <v>1</v>
      </c>
      <c r="G47" s="71">
        <v>44718.087997685187</v>
      </c>
    </row>
    <row r="48" spans="1:7">
      <c r="A48" s="69" t="s">
        <v>796</v>
      </c>
      <c r="B48" s="69" t="s">
        <v>772</v>
      </c>
      <c r="C48" s="68">
        <v>1</v>
      </c>
    </row>
    <row r="49" spans="1:7">
      <c r="A49" s="69" t="s">
        <v>796</v>
      </c>
      <c r="B49" s="69" t="s">
        <v>773</v>
      </c>
      <c r="C49" s="68">
        <v>0</v>
      </c>
    </row>
    <row r="50" spans="1:7">
      <c r="A50" s="69" t="s">
        <v>796</v>
      </c>
      <c r="B50" s="69" t="s">
        <v>776</v>
      </c>
      <c r="C50" s="68">
        <v>2</v>
      </c>
      <c r="G50" s="71">
        <v>44718.087997685187</v>
      </c>
    </row>
    <row r="51" spans="1:7">
      <c r="A51" s="69" t="s">
        <v>796</v>
      </c>
      <c r="B51" s="69" t="s">
        <v>787</v>
      </c>
      <c r="C51" s="68" t="s">
        <v>770</v>
      </c>
    </row>
    <row r="52" spans="1:7">
      <c r="A52" s="69" t="s">
        <v>796</v>
      </c>
      <c r="B52" s="69" t="s">
        <v>707</v>
      </c>
      <c r="C52" s="68">
        <v>100</v>
      </c>
      <c r="G52" s="71">
        <v>44718.087997685187</v>
      </c>
    </row>
    <row r="53" spans="1:7">
      <c r="A53" s="69" t="s">
        <v>796</v>
      </c>
      <c r="B53" s="69" t="s">
        <v>786</v>
      </c>
      <c r="C53" s="68">
        <v>9</v>
      </c>
    </row>
    <row r="54" spans="1:7">
      <c r="A54" s="69" t="s">
        <v>797</v>
      </c>
      <c r="B54" s="69" t="s">
        <v>670</v>
      </c>
      <c r="C54" s="68">
        <v>1</v>
      </c>
      <c r="G54" s="71">
        <v>44718.087997685187</v>
      </c>
    </row>
    <row r="55" spans="1:7">
      <c r="A55" s="69" t="s">
        <v>797</v>
      </c>
      <c r="B55" s="69" t="s">
        <v>789</v>
      </c>
      <c r="C55" s="68" t="s">
        <v>1556</v>
      </c>
      <c r="G55" s="71">
        <v>44718.087997685187</v>
      </c>
    </row>
    <row r="56" spans="1:7">
      <c r="A56" s="69" t="s">
        <v>797</v>
      </c>
      <c r="B56" s="69" t="s">
        <v>669</v>
      </c>
      <c r="C56" s="68" t="s">
        <v>712</v>
      </c>
      <c r="G56" s="71">
        <v>44717.947500000002</v>
      </c>
    </row>
    <row r="57" spans="1:7">
      <c r="A57" s="69" t="s">
        <v>797</v>
      </c>
      <c r="B57" s="69" t="s">
        <v>668</v>
      </c>
      <c r="C57" s="68" t="s">
        <v>712</v>
      </c>
      <c r="G57" s="71">
        <v>44718.087997685187</v>
      </c>
    </row>
    <row r="58" spans="1:7">
      <c r="A58" s="69" t="s">
        <v>742</v>
      </c>
      <c r="B58" s="69" t="s">
        <v>792</v>
      </c>
      <c r="C58" s="68">
        <v>82</v>
      </c>
      <c r="G58" s="71">
        <v>44718.087997685187</v>
      </c>
    </row>
    <row r="59" spans="1:7">
      <c r="A59" s="69" t="s">
        <v>742</v>
      </c>
      <c r="B59" s="69" t="s">
        <v>791</v>
      </c>
      <c r="C59" s="68">
        <v>1</v>
      </c>
      <c r="G59" s="71">
        <v>44718.087997685187</v>
      </c>
    </row>
    <row r="60" spans="1:7">
      <c r="A60" s="69" t="s">
        <v>742</v>
      </c>
      <c r="B60" s="69" t="s">
        <v>790</v>
      </c>
      <c r="C60" s="68">
        <v>82</v>
      </c>
      <c r="G60" s="71">
        <v>44717.85429398148</v>
      </c>
    </row>
    <row r="61" spans="1:7">
      <c r="A61" s="69" t="s">
        <v>742</v>
      </c>
      <c r="B61" s="69" t="s">
        <v>793</v>
      </c>
      <c r="C61" s="68" t="s">
        <v>620</v>
      </c>
      <c r="G61" s="71">
        <v>44718.087997685187</v>
      </c>
    </row>
    <row r="62" spans="1:7">
      <c r="A62" s="69" t="s">
        <v>798</v>
      </c>
      <c r="B62" s="69" t="s">
        <v>697</v>
      </c>
      <c r="C62" s="68" t="b">
        <v>0</v>
      </c>
      <c r="G62" s="71">
        <v>44718.087997685187</v>
      </c>
    </row>
    <row r="63" spans="1:7">
      <c r="A63" s="69" t="s">
        <v>798</v>
      </c>
      <c r="B63" s="69" t="s">
        <v>698</v>
      </c>
      <c r="C63" s="68" t="b">
        <v>0</v>
      </c>
      <c r="G63" s="71">
        <v>44718.087997685187</v>
      </c>
    </row>
    <row r="64" spans="1:7">
      <c r="A64" s="69" t="s">
        <v>798</v>
      </c>
      <c r="B64" s="69" t="s">
        <v>699</v>
      </c>
      <c r="C64" s="68" t="b">
        <v>1</v>
      </c>
      <c r="G64" s="71">
        <v>44718.087997685187</v>
      </c>
    </row>
    <row r="65" spans="1:7">
      <c r="A65" s="69" t="s">
        <v>798</v>
      </c>
      <c r="B65" s="69" t="s">
        <v>681</v>
      </c>
      <c r="C65" s="68" t="b">
        <v>1</v>
      </c>
      <c r="G65" s="71">
        <v>44718.087997685187</v>
      </c>
    </row>
    <row r="66" spans="1:7">
      <c r="A66" s="69" t="s">
        <v>798</v>
      </c>
      <c r="B66" s="69" t="s">
        <v>682</v>
      </c>
      <c r="C66" s="68" t="b">
        <v>1</v>
      </c>
      <c r="G66" s="71">
        <v>44718.087997685187</v>
      </c>
    </row>
    <row r="67" spans="1:7">
      <c r="A67" s="69" t="s">
        <v>798</v>
      </c>
      <c r="B67" s="69" t="s">
        <v>683</v>
      </c>
      <c r="C67" s="68" t="b">
        <v>1</v>
      </c>
      <c r="G67" s="71">
        <v>44718.087997685187</v>
      </c>
    </row>
    <row r="68" spans="1:7">
      <c r="A68" s="69" t="s">
        <v>798</v>
      </c>
      <c r="B68" s="69" t="s">
        <v>684</v>
      </c>
      <c r="C68" s="68" t="b">
        <v>1</v>
      </c>
      <c r="G68" s="71">
        <v>44718.087997685187</v>
      </c>
    </row>
    <row r="69" spans="1:7">
      <c r="A69" s="69" t="s">
        <v>798</v>
      </c>
      <c r="B69" s="69" t="s">
        <v>685</v>
      </c>
      <c r="G69" s="71">
        <v>44718.087997685187</v>
      </c>
    </row>
    <row r="70" spans="1:7">
      <c r="A70" s="69" t="s">
        <v>798</v>
      </c>
      <c r="B70" s="69" t="s">
        <v>700</v>
      </c>
      <c r="C70" s="68" t="s">
        <v>722</v>
      </c>
      <c r="G70" s="71">
        <v>44718.087997685187</v>
      </c>
    </row>
    <row r="71" spans="1:7">
      <c r="A71" s="69" t="s">
        <v>798</v>
      </c>
      <c r="B71" s="69" t="s">
        <v>702</v>
      </c>
      <c r="C71" s="68" t="s">
        <v>724</v>
      </c>
      <c r="G71" s="71">
        <v>44718.087997685187</v>
      </c>
    </row>
    <row r="72" spans="1:7">
      <c r="A72" s="69" t="s">
        <v>798</v>
      </c>
      <c r="B72" s="69" t="s">
        <v>701</v>
      </c>
      <c r="C72" s="68" t="s">
        <v>723</v>
      </c>
      <c r="G72" s="71">
        <v>44718.087997685187</v>
      </c>
    </row>
    <row r="73" spans="1:7">
      <c r="A73" s="69" t="s">
        <v>798</v>
      </c>
      <c r="B73" s="69" t="s">
        <v>687</v>
      </c>
      <c r="C73" s="68" t="s">
        <v>719</v>
      </c>
      <c r="G73" s="71">
        <v>44718.087997685187</v>
      </c>
    </row>
    <row r="74" spans="1:7">
      <c r="A74" s="69" t="s">
        <v>798</v>
      </c>
      <c r="B74" s="69" t="s">
        <v>690</v>
      </c>
      <c r="C74" s="68" t="s">
        <v>721</v>
      </c>
      <c r="G74" s="71">
        <v>44718.087997685187</v>
      </c>
    </row>
    <row r="75" spans="1:7">
      <c r="A75" s="69" t="s">
        <v>798</v>
      </c>
      <c r="B75" s="69" t="s">
        <v>689</v>
      </c>
      <c r="C75" s="68" t="s">
        <v>720</v>
      </c>
      <c r="G75" s="71">
        <v>44718.087997685187</v>
      </c>
    </row>
    <row r="76" spans="1:7">
      <c r="A76" s="69" t="s">
        <v>798</v>
      </c>
      <c r="B76" s="69" t="s">
        <v>688</v>
      </c>
      <c r="C76" s="68" t="s">
        <v>1378</v>
      </c>
      <c r="G76" s="71">
        <v>44718.087997685187</v>
      </c>
    </row>
    <row r="77" spans="1:7">
      <c r="A77" s="69" t="s">
        <v>798</v>
      </c>
      <c r="B77" s="69" t="s">
        <v>686</v>
      </c>
      <c r="G77" s="71">
        <v>44718.087997685187</v>
      </c>
    </row>
    <row r="78" spans="1:7">
      <c r="A78" s="69" t="s">
        <v>798</v>
      </c>
      <c r="B78" s="69" t="s">
        <v>691</v>
      </c>
      <c r="C78" s="68" t="s">
        <v>1386</v>
      </c>
      <c r="G78" s="71">
        <v>44718.087997685187</v>
      </c>
    </row>
    <row r="79" spans="1:7">
      <c r="A79" s="69" t="s">
        <v>798</v>
      </c>
      <c r="B79" s="69" t="s">
        <v>696</v>
      </c>
      <c r="C79" s="68" t="s">
        <v>1388</v>
      </c>
      <c r="G79" s="71">
        <v>44718.087997685187</v>
      </c>
    </row>
    <row r="80" spans="1:7">
      <c r="A80" s="69" t="s">
        <v>798</v>
      </c>
      <c r="B80" s="69" t="s">
        <v>695</v>
      </c>
      <c r="C80" s="68" t="s">
        <v>1389</v>
      </c>
      <c r="G80" s="71">
        <v>44718.087997685187</v>
      </c>
    </row>
    <row r="81" spans="1:7">
      <c r="A81" s="69" t="s">
        <v>798</v>
      </c>
      <c r="B81" s="69" t="s">
        <v>676</v>
      </c>
      <c r="C81" s="68" t="s">
        <v>716</v>
      </c>
      <c r="G81" s="71">
        <v>44718.087997685187</v>
      </c>
    </row>
    <row r="82" spans="1:7">
      <c r="A82" s="69" t="s">
        <v>798</v>
      </c>
      <c r="B82" s="69" t="s">
        <v>680</v>
      </c>
      <c r="C82" s="68" t="s">
        <v>718</v>
      </c>
      <c r="G82" s="71">
        <v>44718.087997685187</v>
      </c>
    </row>
    <row r="83" spans="1:7">
      <c r="A83" s="69" t="s">
        <v>798</v>
      </c>
      <c r="B83" s="69" t="s">
        <v>679</v>
      </c>
      <c r="C83" s="68" t="s">
        <v>717</v>
      </c>
      <c r="G83" s="71">
        <v>44718.087997685187</v>
      </c>
    </row>
    <row r="84" spans="1:7">
      <c r="A84" s="69" t="s">
        <v>798</v>
      </c>
      <c r="B84" s="69" t="s">
        <v>678</v>
      </c>
      <c r="C84" s="68" t="s">
        <v>1557</v>
      </c>
      <c r="G84" s="71">
        <v>44718.087997685187</v>
      </c>
    </row>
    <row r="85" spans="1:7">
      <c r="A85" s="69" t="s">
        <v>798</v>
      </c>
      <c r="B85" s="69" t="s">
        <v>677</v>
      </c>
      <c r="G85" s="71">
        <v>44718.087997685187</v>
      </c>
    </row>
    <row r="86" spans="1:7">
      <c r="A86" s="69" t="s">
        <v>798</v>
      </c>
      <c r="B86" s="69" t="s">
        <v>692</v>
      </c>
      <c r="C86" s="68" t="s">
        <v>1387</v>
      </c>
      <c r="G86" s="71">
        <v>44718.087997685187</v>
      </c>
    </row>
    <row r="87" spans="1:7">
      <c r="A87" s="69" t="s">
        <v>798</v>
      </c>
      <c r="B87" s="69" t="s">
        <v>693</v>
      </c>
      <c r="C87" s="68" t="s">
        <v>1387</v>
      </c>
      <c r="G87" s="71">
        <v>44718.087997685187</v>
      </c>
    </row>
    <row r="88" spans="1:7">
      <c r="A88" s="69" t="s">
        <v>798</v>
      </c>
      <c r="B88" s="69" t="s">
        <v>694</v>
      </c>
      <c r="C88" s="68" t="s">
        <v>1387</v>
      </c>
      <c r="G88" s="71">
        <v>44718.087997685187</v>
      </c>
    </row>
    <row r="89" spans="1:7">
      <c r="A89" s="69" t="s">
        <v>798</v>
      </c>
      <c r="B89" s="69" t="s">
        <v>671</v>
      </c>
      <c r="C89" s="68" t="s">
        <v>713</v>
      </c>
      <c r="G89" s="71">
        <v>44718.087997685187</v>
      </c>
    </row>
    <row r="90" spans="1:7">
      <c r="A90" s="69" t="s">
        <v>798</v>
      </c>
      <c r="B90" s="69" t="s">
        <v>672</v>
      </c>
      <c r="C90" s="68" t="s">
        <v>714</v>
      </c>
      <c r="G90" s="71">
        <v>44718.087997685187</v>
      </c>
    </row>
    <row r="91" spans="1:7">
      <c r="A91" s="69" t="s">
        <v>798</v>
      </c>
      <c r="B91" s="69" t="s">
        <v>673</v>
      </c>
      <c r="C91" s="68" t="s">
        <v>715</v>
      </c>
      <c r="G91" s="71">
        <v>44718.087997685187</v>
      </c>
    </row>
    <row r="92" spans="1:7">
      <c r="A92" s="69" t="s">
        <v>798</v>
      </c>
      <c r="B92" s="69" t="s">
        <v>674</v>
      </c>
      <c r="C92" s="68" t="s">
        <v>1379</v>
      </c>
      <c r="G92" s="71">
        <v>44718.087997685187</v>
      </c>
    </row>
    <row r="93" spans="1:7">
      <c r="A93" s="69" t="s">
        <v>798</v>
      </c>
      <c r="B93" s="69" t="s">
        <v>675</v>
      </c>
      <c r="G93" s="71">
        <v>44718.087997685187</v>
      </c>
    </row>
    <row r="94" spans="1:7">
      <c r="A94" s="69" t="s">
        <v>725</v>
      </c>
      <c r="B94" s="69" t="s">
        <v>730</v>
      </c>
      <c r="C94" s="68" t="b">
        <v>1</v>
      </c>
      <c r="F94" s="71"/>
      <c r="G94" s="71">
        <v>44717.850543981483</v>
      </c>
    </row>
    <row r="95" spans="1:7">
      <c r="A95" s="69" t="s">
        <v>725</v>
      </c>
      <c r="B95" s="69" t="s">
        <v>741</v>
      </c>
      <c r="C95" s="68" t="b">
        <v>1</v>
      </c>
      <c r="F95" s="71"/>
      <c r="G95" s="71">
        <v>44717.850543981483</v>
      </c>
    </row>
    <row r="96" spans="1:7">
      <c r="A96" s="69" t="s">
        <v>725</v>
      </c>
      <c r="B96" s="69" t="s">
        <v>740</v>
      </c>
      <c r="C96" s="68" t="b">
        <v>0</v>
      </c>
      <c r="F96" s="71"/>
      <c r="G96" s="71">
        <v>44717.850543981483</v>
      </c>
    </row>
    <row r="97" spans="1:7">
      <c r="A97" s="69" t="s">
        <v>725</v>
      </c>
      <c r="B97" s="69" t="s">
        <v>729</v>
      </c>
      <c r="C97" s="68" t="b">
        <v>0</v>
      </c>
      <c r="F97" s="71"/>
      <c r="G97" s="71">
        <v>44717.850543981483</v>
      </c>
    </row>
    <row r="98" spans="1:7">
      <c r="A98" s="69" t="s">
        <v>725</v>
      </c>
      <c r="B98" s="69" t="s">
        <v>739</v>
      </c>
      <c r="C98" s="68" t="b">
        <v>0</v>
      </c>
      <c r="F98" s="71"/>
      <c r="G98" s="71">
        <v>44717.850543981483</v>
      </c>
    </row>
    <row r="99" spans="1:7">
      <c r="A99" s="69" t="s">
        <v>725</v>
      </c>
      <c r="B99" s="69" t="s">
        <v>737</v>
      </c>
      <c r="C99" s="68" t="b">
        <v>1</v>
      </c>
      <c r="F99" s="71"/>
      <c r="G99" s="71">
        <v>44717.850543981483</v>
      </c>
    </row>
    <row r="100" spans="1:7">
      <c r="A100" s="69" t="s">
        <v>725</v>
      </c>
      <c r="B100" s="69" t="s">
        <v>738</v>
      </c>
      <c r="C100" s="68" t="b">
        <v>0</v>
      </c>
      <c r="F100" s="71"/>
      <c r="G100" s="71">
        <v>44717.850543981483</v>
      </c>
    </row>
    <row r="101" spans="1:7">
      <c r="A101" s="69" t="s">
        <v>725</v>
      </c>
      <c r="B101" s="69" t="s">
        <v>733</v>
      </c>
      <c r="C101" s="68" t="b">
        <v>0</v>
      </c>
      <c r="F101" s="71"/>
      <c r="G101" s="71">
        <v>44717.850543981483</v>
      </c>
    </row>
    <row r="102" spans="1:7">
      <c r="A102" s="69" t="s">
        <v>725</v>
      </c>
      <c r="B102" s="69" t="s">
        <v>728</v>
      </c>
      <c r="C102" s="68" t="b">
        <v>0</v>
      </c>
      <c r="F102" s="71"/>
      <c r="G102" s="71">
        <v>44717.850543981483</v>
      </c>
    </row>
    <row r="103" spans="1:7">
      <c r="A103" s="69" t="s">
        <v>725</v>
      </c>
      <c r="B103" s="69" t="s">
        <v>727</v>
      </c>
      <c r="C103" s="68" t="b">
        <v>0</v>
      </c>
      <c r="F103" s="71"/>
      <c r="G103" s="71">
        <v>44717.850543981483</v>
      </c>
    </row>
    <row r="104" spans="1:7">
      <c r="A104" s="69" t="s">
        <v>725</v>
      </c>
      <c r="B104" s="69" t="s">
        <v>726</v>
      </c>
      <c r="C104" s="68" t="b">
        <v>0</v>
      </c>
      <c r="F104" s="71"/>
      <c r="G104" s="71">
        <v>44717.850543981483</v>
      </c>
    </row>
    <row r="105" spans="1:7">
      <c r="A105" s="69" t="s">
        <v>725</v>
      </c>
      <c r="B105" s="69" t="s">
        <v>735</v>
      </c>
      <c r="C105" s="68">
        <v>0</v>
      </c>
      <c r="F105" s="71"/>
      <c r="G105" s="71">
        <v>44717.850543981483</v>
      </c>
    </row>
    <row r="106" spans="1:7">
      <c r="A106" s="69" t="s">
        <v>725</v>
      </c>
      <c r="B106" s="69" t="s">
        <v>734</v>
      </c>
      <c r="C106" s="68">
        <v>80</v>
      </c>
      <c r="F106" s="71"/>
      <c r="G106" s="71">
        <v>44717.850543981483</v>
      </c>
    </row>
    <row r="107" spans="1:7">
      <c r="A107" s="69" t="s">
        <v>725</v>
      </c>
      <c r="B107" s="69" t="s">
        <v>736</v>
      </c>
      <c r="F107" s="71"/>
      <c r="G107" s="71">
        <v>44717.850543981483</v>
      </c>
    </row>
    <row r="108" spans="1:7">
      <c r="A108" s="69" t="s">
        <v>725</v>
      </c>
      <c r="B108" s="69" t="s">
        <v>731</v>
      </c>
      <c r="C108" s="70">
        <v>44562</v>
      </c>
      <c r="F108" s="71"/>
      <c r="G108" s="71">
        <v>44717.850543981483</v>
      </c>
    </row>
    <row r="109" spans="1:7">
      <c r="A109" s="69" t="s">
        <v>725</v>
      </c>
      <c r="B109" s="69" t="s">
        <v>732</v>
      </c>
      <c r="C109" s="70">
        <v>44199</v>
      </c>
      <c r="F109" s="71"/>
      <c r="G109" s="71">
        <v>44717.850543981483</v>
      </c>
    </row>
  </sheetData>
  <sortState xmlns:xlrd2="http://schemas.microsoft.com/office/spreadsheetml/2017/richdata2" ref="A54:AB93">
    <sortCondition ref="A54:A93"/>
    <sortCondition ref="B54:B93"/>
  </sortState>
  <phoneticPr fontId="1" type="noConversion"/>
  <hyperlinks>
    <hyperlink ref="C6" r:id="rId1" xr:uid="{D8D23F76-B020-4118-9FF2-720D8C08804B}"/>
  </hyperlinks>
  <pageMargins left="0.7" right="0.7" top="0.75" bottom="0.75" header="0.3" footer="0.3"/>
  <pageSetup paperSize="9" orientation="portrait" r:id="rId2"/>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separator id="MySeparator2"/>
          <button id="cbtnSelectFormulaCells" getLabel="xlgantt_ribbon_getlabel" size="large" onAction="selectFormulaCellsFromRibbon" imageMso="SelectMenu"/>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7</vt:i4>
      </vt:variant>
      <vt:variant>
        <vt:lpstr>이름 지정된 범위</vt:lpstr>
      </vt:variant>
      <vt:variant>
        <vt:i4>34</vt:i4>
      </vt:variant>
    </vt:vector>
  </HeadingPairs>
  <TitlesOfParts>
    <vt:vector size="41" baseType="lpstr">
      <vt:lpstr>Help</vt:lpstr>
      <vt:lpstr>Schedule</vt:lpstr>
      <vt:lpstr>Progress</vt:lpstr>
      <vt:lpstr>AnalysisReport</vt:lpstr>
      <vt:lpstr>Calendar</vt:lpstr>
      <vt:lpstr>TranslatedLanguages</vt:lpstr>
      <vt:lpstr>Workload</vt:lpstr>
      <vt:lpstr>ACTUAL_RATE</vt:lpstr>
      <vt:lpstr>ACTUAL_WORKLOAD</vt:lpstr>
      <vt:lpstr>ACTUAL_WORKLOAD2</vt:lpstr>
      <vt:lpstr>English_Name</vt:lpstr>
      <vt:lpstr>PLANNED_RATE</vt:lpstr>
      <vt:lpstr>PLANNED_WORKLOAD</vt:lpstr>
      <vt:lpstr>Schedule!Print_Area</vt:lpstr>
      <vt:lpstr>RATE_GAP</vt:lpstr>
      <vt:lpstr>Schedule!RNG_ACTUAL_END_DATE_COL_NAME</vt:lpstr>
      <vt:lpstr>Schedule!RNG_ACTUAL_RATE_COL_NAME</vt:lpstr>
      <vt:lpstr>Schedule!RNG_ACTUAL_START_DATE_COL_NAME</vt:lpstr>
      <vt:lpstr>Schedule!RNG_ACTUAL_TOTAL_DURATION_COL_NAME</vt:lpstr>
      <vt:lpstr>Schedule!RNG_ACTUAL_TOTAL_WORKLOAD_COL_NAME</vt:lpstr>
      <vt:lpstr>Schedule!RNG_CALENDAR_COL_NAME</vt:lpstr>
      <vt:lpstr>Schedule!RNG_DELIVERABLES_COL_NAME</vt:lpstr>
      <vt:lpstr>Schedule!RNG_END_DATE_COL_NAME</vt:lpstr>
      <vt:lpstr>Schedule!RNG_ETC_COL_NAME</vt:lpstr>
      <vt:lpstr>Schedule!RNG_GANTT_AREA_FIRST_COL_NAME</vt:lpstr>
      <vt:lpstr>Schedule!RNG_PLAN_DURATION_COL_NAME</vt:lpstr>
      <vt:lpstr>Schedule!RNG_PLAN_RATE_COL_NAME</vt:lpstr>
      <vt:lpstr>Schedule!RNG_PLAN_WORKLOAD_COL_NAME</vt:lpstr>
      <vt:lpstr>Schedule!RNG_RESOURCE_COL_NAME</vt:lpstr>
      <vt:lpstr>Schedule!RNG_RESOURCE_WEIGHT_COL_NAME</vt:lpstr>
      <vt:lpstr>Schedule!RNG_START_DATE_COL_NAME</vt:lpstr>
      <vt:lpstr>Schedule!RNG_TASK_FIRST_COL_NAME</vt:lpstr>
      <vt:lpstr>Schedule!RNG_TOTAL_DURATION_COL_NAME</vt:lpstr>
      <vt:lpstr>Schedule!RNG_TOTAL_WORKLOAD_COL_NAME</vt:lpstr>
      <vt:lpstr>Schedule!RNG_WBS_AREA_LAST_COL_NAME</vt:lpstr>
      <vt:lpstr>Schedule!RNG_WBS_COL_NAME</vt:lpstr>
      <vt:lpstr>Schedule!RNG_WBS_LEVEL_COL_NAME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cp:lastModifiedBy>
  <cp:lastPrinted>2022-06-05T11:24:31Z</cp:lastPrinted>
  <dcterms:created xsi:type="dcterms:W3CDTF">2018-02-18T09:45:14Z</dcterms:created>
  <dcterms:modified xsi:type="dcterms:W3CDTF">2023-01-18T05:18:41Z</dcterms:modified>
</cp:coreProperties>
</file>